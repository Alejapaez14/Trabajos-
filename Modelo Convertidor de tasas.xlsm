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nisabanaedu-my.sharepoint.com/personal/alejandrapaal_unisabana_edu_co/Documents/Universidad/Semestre 3/Finanzas internacionales/"/>
    </mc:Choice>
  </mc:AlternateContent>
  <xr:revisionPtr revIDLastSave="110" documentId="8_{63C59BA2-2793-4ACF-824F-721515366E0D}" xr6:coauthVersionLast="45" xr6:coauthVersionMax="45" xr10:uidLastSave="{9F979DFB-825F-4B66-B01A-CBCDA377768E}"/>
  <bookViews>
    <workbookView xWindow="8496" yWindow="624" windowWidth="14520" windowHeight="11916" xr2:uid="{D9992633-5C4D-4D0D-817F-5189E9294142}"/>
  </bookViews>
  <sheets>
    <sheet name="Convertidor de tasas" sheetId="2" r:id="rId1"/>
    <sheet name="Base de datos 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/>
  <c r="G5" i="2" l="1"/>
  <c r="E4" i="1" l="1"/>
  <c r="E2" i="1"/>
  <c r="E3" i="1" l="1"/>
  <c r="H5" i="2" s="1"/>
  <c r="H2" i="1" s="1"/>
  <c r="H3" i="1" l="1"/>
  <c r="K5" i="2" s="1"/>
</calcChain>
</file>

<file path=xl/sharedStrings.xml><?xml version="1.0" encoding="utf-8"?>
<sst xmlns="http://schemas.openxmlformats.org/spreadsheetml/2006/main" count="40" uniqueCount="38">
  <si>
    <t>Dia</t>
  </si>
  <si>
    <t>Semana</t>
  </si>
  <si>
    <t>Quincena</t>
  </si>
  <si>
    <t>Mes</t>
  </si>
  <si>
    <t>Bimestre</t>
  </si>
  <si>
    <t>Trimestre</t>
  </si>
  <si>
    <t>Cuatrimestre</t>
  </si>
  <si>
    <t xml:space="preserve">Semestre </t>
  </si>
  <si>
    <t>9 meses</t>
  </si>
  <si>
    <t xml:space="preserve">Anual </t>
  </si>
  <si>
    <t>Tasa dada</t>
  </si>
  <si>
    <t xml:space="preserve">Periodo </t>
  </si>
  <si>
    <t>Anticipada</t>
  </si>
  <si>
    <t xml:space="preserve">Efectiva </t>
  </si>
  <si>
    <t>Vencida</t>
  </si>
  <si>
    <t>IP</t>
  </si>
  <si>
    <t xml:space="preserve">Resultado </t>
  </si>
  <si>
    <t xml:space="preserve">Pasos para usarlo </t>
  </si>
  <si>
    <t>INFO</t>
  </si>
  <si>
    <t>Poner la tasa que se desea hallar</t>
  </si>
  <si>
    <t xml:space="preserve">Si solo desea la efectiva anual no se debe desarrollar el resto </t>
  </si>
  <si>
    <t>Convertidor de Tasas</t>
  </si>
  <si>
    <t xml:space="preserve">Utilice coma para los decimales </t>
  </si>
  <si>
    <t>Tipo de Tasa</t>
  </si>
  <si>
    <t xml:space="preserve">Tasa Efectiva </t>
  </si>
  <si>
    <t>Para borrar todos los datos ingresados se oprime el borrar datos</t>
  </si>
  <si>
    <t>Tipo de tasa (Cambio) (Plazos)</t>
  </si>
  <si>
    <t>*</t>
  </si>
  <si>
    <t>Alejandra Páez              Código: 0000224224</t>
  </si>
  <si>
    <t xml:space="preserve">Seleccionar el periodo en el que se va a evaluar la tasa que esté en la lista desplegable </t>
  </si>
  <si>
    <t xml:space="preserve">Seleccionar el periodo al que se desea pasar que esté en la lista desplegable </t>
  </si>
  <si>
    <t xml:space="preserve">Seleccionar que tipo de tasa es que esté en la lista desplegable </t>
  </si>
  <si>
    <t xml:space="preserve">Seleccionar a que tipo de tasa se desea pasar  que esté en la lista desplegable </t>
  </si>
  <si>
    <t>¿De qué periodo es la tasa?</t>
  </si>
  <si>
    <t>¿Qué tipo de tasa es?</t>
  </si>
  <si>
    <t>¿Qué tipo de tasa será?</t>
  </si>
  <si>
    <t>¿De qué periodo será la tasa?</t>
  </si>
  <si>
    <t>Se debe parar en la casilla para que salga una flecha que tiene la lista desplegable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</si>
</sst>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%"/>
    <numFmt numFmtId="165" formatCode="0.00000%"/>
    <numFmt numFmtId="166" formatCode="&quot;$&quot;\ #,##0.00"/>
    <numFmt numFmtId="167" formatCode="&quot;$&quot;\ #,##0.0000"/>
    <numFmt numFmtId="168" formatCode="0.00000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4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8">
    <xf numFmtId="0" fontId="0" fillId="0" borderId="0" xfId="0"/>
    <xf numFmtId="164" fontId="0" fillId="0" borderId="0" xfId="0" applyNumberFormat="1"/>
    <xf numFmtId="0" fontId="0" fillId="0" borderId="8" xfId="0" applyBorder="1"/>
    <xf numFmtId="0" fontId="0" fillId="0" borderId="5" xfId="0" applyBorder="1"/>
    <xf numFmtId="166" fontId="0" fillId="0" borderId="0" xfId="0" applyNumberFormat="1"/>
    <xf numFmtId="167" fontId="0" fillId="0" borderId="0" xfId="0" applyNumberFormat="1"/>
    <xf numFmtId="0" fontId="0" fillId="0" borderId="0" xfId="0" applyBorder="1"/>
    <xf numFmtId="0" fontId="2" fillId="0" borderId="0" xfId="0" applyFont="1" applyFill="1" applyBorder="1" applyAlignment="1">
      <alignment horizontal="center"/>
    </xf>
    <xf numFmtId="164" fontId="0" fillId="0" borderId="10" xfId="0" applyNumberFormat="1" applyBorder="1"/>
    <xf numFmtId="164" fontId="0" fillId="0" borderId="11" xfId="0" applyNumberFormat="1" applyBorder="1"/>
    <xf numFmtId="164" fontId="0" fillId="0" borderId="11" xfId="1" applyNumberFormat="1" applyFont="1" applyBorder="1"/>
    <xf numFmtId="0" fontId="2" fillId="3" borderId="1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/>
    </xf>
    <xf numFmtId="0" fontId="0" fillId="0" borderId="4" xfId="0" applyBorder="1"/>
    <xf numFmtId="0" fontId="2" fillId="5" borderId="13" xfId="0" applyFont="1" applyFill="1" applyBorder="1"/>
    <xf numFmtId="0" fontId="0" fillId="6" borderId="17" xfId="0" applyFill="1" applyBorder="1"/>
    <xf numFmtId="0" fontId="2" fillId="5" borderId="14" xfId="0" applyFont="1" applyFill="1" applyBorder="1"/>
    <xf numFmtId="0" fontId="0" fillId="6" borderId="18" xfId="0" applyFill="1" applyBorder="1"/>
    <xf numFmtId="0" fontId="0" fillId="8" borderId="9" xfId="0" applyFill="1" applyBorder="1"/>
    <xf numFmtId="165" fontId="0" fillId="8" borderId="9" xfId="0" applyNumberFormat="1" applyFill="1" applyBorder="1"/>
    <xf numFmtId="0" fontId="2" fillId="7" borderId="9" xfId="0" applyFont="1" applyFill="1" applyBorder="1"/>
    <xf numFmtId="0" fontId="2" fillId="4" borderId="13" xfId="0" applyFont="1" applyFill="1" applyBorder="1"/>
    <xf numFmtId="0" fontId="2" fillId="4" borderId="14" xfId="0" applyFont="1" applyFill="1" applyBorder="1"/>
    <xf numFmtId="164" fontId="0" fillId="9" borderId="17" xfId="0" applyNumberFormat="1" applyFill="1" applyBorder="1"/>
    <xf numFmtId="0" fontId="0" fillId="0" borderId="17" xfId="0" applyBorder="1" applyAlignment="1">
      <alignment horizontal="center" wrapText="1"/>
    </xf>
    <xf numFmtId="0" fontId="0" fillId="0" borderId="19" xfId="0" applyBorder="1" applyAlignment="1">
      <alignment horizontal="center" wrapText="1"/>
    </xf>
    <xf numFmtId="0" fontId="0" fillId="0" borderId="18" xfId="0" applyFill="1" applyBorder="1" applyAlignment="1">
      <alignment horizontal="center" wrapText="1"/>
    </xf>
    <xf numFmtId="164" fontId="0" fillId="8" borderId="9" xfId="1" applyNumberFormat="1" applyFont="1" applyFill="1" applyBorder="1"/>
    <xf numFmtId="168" fontId="0" fillId="0" borderId="11" xfId="1" applyNumberFormat="1" applyFont="1" applyBorder="1"/>
    <xf numFmtId="168" fontId="2" fillId="0" borderId="0" xfId="0" applyNumberFormat="1" applyFont="1" applyFill="1" applyBorder="1" applyAlignment="1">
      <alignment horizontal="center"/>
    </xf>
    <xf numFmtId="168" fontId="0" fillId="9" borderId="18" xfId="0" applyNumberFormat="1" applyFill="1" applyBorder="1"/>
    <xf numFmtId="168" fontId="0" fillId="0" borderId="12" xfId="1" applyNumberFormat="1" applyFont="1" applyBorder="1"/>
    <xf numFmtId="0" fontId="2" fillId="2" borderId="1" xfId="0" applyFont="1" applyFill="1" applyBorder="1" applyAlignment="1" applyProtection="1">
      <alignment horizontal="center" vertical="center" wrapText="1"/>
    </xf>
    <xf numFmtId="0" fontId="2" fillId="4" borderId="6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10" borderId="4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 vertical="center"/>
    </xf>
    <xf numFmtId="0" fontId="2" fillId="3" borderId="20" xfId="0" applyFont="1" applyFill="1" applyBorder="1" applyAlignment="1">
      <alignment horizontal="center" vertical="center"/>
    </xf>
    <xf numFmtId="0" fontId="2" fillId="3" borderId="16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2" fillId="7" borderId="9" xfId="0" applyFont="1" applyFill="1" applyBorder="1" applyAlignment="1">
      <alignment horizontal="center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998220</xdr:colOff>
          <xdr:row>5</xdr:row>
          <xdr:rowOff>266700</xdr:rowOff>
        </xdr:from>
        <xdr:to>
          <xdr:col>8</xdr:col>
          <xdr:colOff>876300</xdr:colOff>
          <xdr:row>5</xdr:row>
          <xdr:rowOff>731520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Datos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BBD71-D7DE-4447-B4E4-3D127B8AC4DD}">
  <sheetPr codeName="Hoja1"/>
  <dimension ref="A1:L29"/>
  <sheetViews>
    <sheetView tabSelected="1" topLeftCell="A7" zoomScale="85" zoomScaleNormal="85" workbookViewId="0">
      <selection activeCell="F8" sqref="F8"/>
    </sheetView>
  </sheetViews>
  <sheetFormatPr baseColWidth="10" defaultRowHeight="14.4" x14ac:dyDescent="0.3"/>
  <cols>
    <col min="1" max="1" width="14" bestFit="1" customWidth="1"/>
    <col min="2" max="2" width="20.6640625" customWidth="1"/>
    <col min="3" max="3" width="9.5546875" bestFit="1" customWidth="1"/>
    <col min="4" max="4" width="10.21875" bestFit="1" customWidth="1"/>
    <col min="5" max="5" width="11.44140625" customWidth="1"/>
    <col min="6" max="6" width="15" bestFit="1" customWidth="1"/>
    <col min="7" max="7" width="12" bestFit="1" customWidth="1"/>
    <col min="8" max="8" width="9.33203125" bestFit="1" customWidth="1"/>
    <col min="9" max="9" width="13.77734375" bestFit="1" customWidth="1"/>
    <col min="10" max="10" width="14" bestFit="1" customWidth="1"/>
    <col min="11" max="11" width="13.77734375" customWidth="1"/>
  </cols>
  <sheetData>
    <row r="1" spans="1:12" ht="15" thickBot="1" x14ac:dyDescent="0.35">
      <c r="A1" s="41" t="s">
        <v>28</v>
      </c>
      <c r="B1" s="41"/>
      <c r="C1" s="41"/>
      <c r="D1" s="41"/>
      <c r="E1" s="41"/>
      <c r="F1" s="41"/>
      <c r="G1" s="41"/>
      <c r="H1" s="41"/>
      <c r="I1" s="41"/>
      <c r="J1" s="41"/>
      <c r="K1" s="41"/>
    </row>
    <row r="2" spans="1:12" x14ac:dyDescent="0.3">
      <c r="A2" s="33" t="s">
        <v>21</v>
      </c>
      <c r="B2" s="34"/>
      <c r="C2" s="34"/>
      <c r="D2" s="34"/>
      <c r="E2" s="34"/>
      <c r="F2" s="34"/>
      <c r="G2" s="34"/>
      <c r="H2" s="34"/>
      <c r="I2" s="34"/>
      <c r="J2" s="34"/>
      <c r="K2" s="35"/>
      <c r="L2" t="s">
        <v>27</v>
      </c>
    </row>
    <row r="3" spans="1:12" ht="15" thickBot="1" x14ac:dyDescent="0.35">
      <c r="A3" s="36"/>
      <c r="B3" s="37"/>
      <c r="C3" s="37"/>
      <c r="D3" s="37"/>
      <c r="E3" s="37"/>
      <c r="F3" s="37"/>
      <c r="G3" s="37"/>
      <c r="H3" s="37"/>
      <c r="I3" s="37"/>
      <c r="J3" s="37"/>
      <c r="K3" s="38"/>
    </row>
    <row r="4" spans="1:12" ht="43.8" thickBot="1" x14ac:dyDescent="0.35">
      <c r="A4" s="39" t="s">
        <v>17</v>
      </c>
      <c r="B4" s="40"/>
      <c r="C4" s="7"/>
      <c r="D4" s="32" t="s">
        <v>10</v>
      </c>
      <c r="E4" s="32" t="s">
        <v>33</v>
      </c>
      <c r="F4" s="32" t="s">
        <v>34</v>
      </c>
      <c r="G4" s="32" t="s">
        <v>15</v>
      </c>
      <c r="H4" s="32" t="s">
        <v>24</v>
      </c>
      <c r="I4" s="32" t="s">
        <v>36</v>
      </c>
      <c r="J4" s="32" t="s">
        <v>35</v>
      </c>
      <c r="K4" s="32" t="s">
        <v>16</v>
      </c>
    </row>
    <row r="5" spans="1:12" ht="29.4" thickBot="1" x14ac:dyDescent="0.35">
      <c r="A5" s="11">
        <v>1</v>
      </c>
      <c r="B5" s="24" t="s">
        <v>19</v>
      </c>
      <c r="C5" s="7"/>
      <c r="D5" s="8"/>
      <c r="E5" s="9"/>
      <c r="F5" s="9"/>
      <c r="G5" s="28" t="e">
        <f>D5/(VLOOKUP(E5,'Base de datos '!A2:B11,2,FALSE))</f>
        <v>#N/A</v>
      </c>
      <c r="H5" s="10" t="e">
        <f>VLOOKUP(F5,'Base de datos '!D2:E4,2,FALSE)</f>
        <v>#N/A</v>
      </c>
      <c r="I5" s="9"/>
      <c r="J5" s="9"/>
      <c r="K5" s="31" t="e">
        <f>(VLOOKUP(J5,'Base de datos '!G2:H4,2,FALSE))*(VLOOKUP('Convertidor de tasas'!I5,'Base de datos '!A2:B11,2,FALSE))</f>
        <v>#N/A</v>
      </c>
    </row>
    <row r="6" spans="1:12" ht="73.8" customHeight="1" x14ac:dyDescent="0.3">
      <c r="A6" s="11">
        <v>2</v>
      </c>
      <c r="B6" s="24" t="s">
        <v>29</v>
      </c>
      <c r="C6" s="7"/>
      <c r="D6" s="7"/>
      <c r="E6" s="7"/>
      <c r="F6" s="7"/>
      <c r="G6" s="29"/>
      <c r="H6" s="7"/>
      <c r="I6" s="6"/>
      <c r="J6" s="6"/>
      <c r="K6" s="2"/>
    </row>
    <row r="7" spans="1:12" ht="49.8" customHeight="1" x14ac:dyDescent="0.3">
      <c r="A7" s="11">
        <v>3</v>
      </c>
      <c r="B7" s="24" t="s">
        <v>31</v>
      </c>
      <c r="C7" s="7"/>
      <c r="D7" s="7"/>
      <c r="E7" s="7"/>
      <c r="F7" s="7"/>
      <c r="G7" s="29"/>
      <c r="H7" s="7"/>
      <c r="I7" s="6"/>
      <c r="J7" s="6"/>
      <c r="K7" s="2"/>
    </row>
    <row r="8" spans="1:12" ht="56.4" customHeight="1" x14ac:dyDescent="0.3">
      <c r="A8" s="11">
        <v>4</v>
      </c>
      <c r="B8" s="24" t="s">
        <v>30</v>
      </c>
      <c r="C8" s="7"/>
      <c r="D8" s="7"/>
      <c r="E8" s="7"/>
      <c r="F8" s="7"/>
      <c r="G8" s="29"/>
      <c r="H8" s="7"/>
      <c r="I8" s="6"/>
      <c r="J8" s="6"/>
      <c r="K8" s="2"/>
    </row>
    <row r="9" spans="1:12" ht="57.6" x14ac:dyDescent="0.3">
      <c r="A9" s="11">
        <v>5</v>
      </c>
      <c r="B9" s="24" t="s">
        <v>32</v>
      </c>
      <c r="C9" s="7"/>
      <c r="D9" s="7"/>
      <c r="E9" s="7"/>
      <c r="F9" s="7"/>
      <c r="G9" s="7"/>
      <c r="H9" s="7"/>
      <c r="I9" s="6"/>
      <c r="J9" s="6"/>
      <c r="K9" s="2"/>
    </row>
    <row r="10" spans="1:12" ht="57.6" x14ac:dyDescent="0.3">
      <c r="A10" s="42" t="s">
        <v>18</v>
      </c>
      <c r="B10" s="25" t="s">
        <v>37</v>
      </c>
      <c r="C10" s="7"/>
      <c r="D10" s="7"/>
      <c r="E10" s="7"/>
      <c r="F10" s="7"/>
      <c r="G10" s="7"/>
      <c r="H10" s="7"/>
      <c r="I10" s="6"/>
      <c r="J10" s="6"/>
      <c r="K10" s="2"/>
    </row>
    <row r="11" spans="1:12" ht="43.2" x14ac:dyDescent="0.3">
      <c r="A11" s="43"/>
      <c r="B11" s="25" t="s">
        <v>25</v>
      </c>
      <c r="C11" s="7"/>
      <c r="D11" s="7"/>
      <c r="E11" s="7"/>
      <c r="F11" s="7"/>
      <c r="G11" s="7"/>
      <c r="H11" s="7"/>
      <c r="I11" s="6"/>
      <c r="J11" s="6"/>
      <c r="K11" s="2"/>
    </row>
    <row r="12" spans="1:12" ht="28.8" x14ac:dyDescent="0.3">
      <c r="A12" s="43"/>
      <c r="B12" s="25" t="s">
        <v>22</v>
      </c>
      <c r="C12" s="7"/>
      <c r="D12" s="7"/>
      <c r="E12" s="7"/>
      <c r="F12" s="7"/>
      <c r="G12" s="7"/>
      <c r="H12" s="7"/>
      <c r="I12" s="6"/>
      <c r="J12" s="6"/>
      <c r="K12" s="2"/>
    </row>
    <row r="13" spans="1:12" ht="43.8" thickBot="1" x14ac:dyDescent="0.35">
      <c r="A13" s="44"/>
      <c r="B13" s="26" t="s">
        <v>20</v>
      </c>
      <c r="C13" s="12"/>
      <c r="D13" s="12"/>
      <c r="E13" s="12"/>
      <c r="F13" s="12"/>
      <c r="G13" s="12"/>
      <c r="H13" s="12"/>
      <c r="I13" s="13"/>
      <c r="J13" s="13"/>
      <c r="K13" s="3"/>
    </row>
    <row r="14" spans="1:12" x14ac:dyDescent="0.3">
      <c r="A14" s="7"/>
      <c r="B14" s="7"/>
      <c r="C14" s="7"/>
      <c r="D14" s="7"/>
      <c r="E14" s="7"/>
      <c r="F14" s="7"/>
      <c r="G14" s="7"/>
      <c r="H14" s="7"/>
    </row>
    <row r="15" spans="1:12" x14ac:dyDescent="0.3">
      <c r="A15" s="7"/>
      <c r="B15" s="7"/>
      <c r="C15" s="7"/>
      <c r="D15" s="7"/>
      <c r="E15" s="7"/>
      <c r="F15" s="7"/>
      <c r="G15" s="7"/>
      <c r="H15" s="7"/>
    </row>
    <row r="16" spans="1:12" x14ac:dyDescent="0.3">
      <c r="A16" s="7"/>
      <c r="B16" s="7"/>
      <c r="C16" s="7"/>
      <c r="D16" s="7"/>
      <c r="E16" s="7"/>
      <c r="F16" s="7"/>
      <c r="G16" s="7"/>
      <c r="H16" s="7"/>
    </row>
    <row r="24" spans="6:10" x14ac:dyDescent="0.3">
      <c r="F24" s="4"/>
    </row>
    <row r="26" spans="6:10" x14ac:dyDescent="0.3">
      <c r="G26" s="4"/>
    </row>
    <row r="28" spans="6:10" x14ac:dyDescent="0.3">
      <c r="G28" s="1"/>
    </row>
    <row r="29" spans="6:10" x14ac:dyDescent="0.3">
      <c r="G29" s="5"/>
      <c r="I29" s="4"/>
      <c r="J29" s="4"/>
    </row>
  </sheetData>
  <mergeCells count="4">
    <mergeCell ref="A2:K3"/>
    <mergeCell ref="A4:B4"/>
    <mergeCell ref="A1:K1"/>
    <mergeCell ref="A10:A1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orrardatos">
                <anchor moveWithCells="1">
                  <from>
                    <xdr:col>5</xdr:col>
                    <xdr:colOff>998220</xdr:colOff>
                    <xdr:row>5</xdr:row>
                    <xdr:rowOff>266700</xdr:rowOff>
                  </from>
                  <to>
                    <xdr:col>8</xdr:col>
                    <xdr:colOff>876300</xdr:colOff>
                    <xdr:row>5</xdr:row>
                    <xdr:rowOff>731520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B278468-F9AA-416C-8C01-99E14DE3F0EE}">
          <x14:formula1>
            <xm:f>'Base de datos '!$A$2:$A$11</xm:f>
          </x14:formula1>
          <xm:sqref>E5 I5</xm:sqref>
        </x14:dataValidation>
        <x14:dataValidation type="list" allowBlank="1" showInputMessage="1" showErrorMessage="1" xr:uid="{24B362F4-8A60-43E7-85CF-21FCC45F0284}">
          <x14:formula1>
            <xm:f>'Base de datos '!$D$2:$D$4</xm:f>
          </x14:formula1>
          <xm:sqref>F5</xm:sqref>
        </x14:dataValidation>
        <x14:dataValidation type="list" allowBlank="1" showInputMessage="1" showErrorMessage="1" xr:uid="{3811ED8E-914A-4DE1-94BD-6C0C4D9E96BE}">
          <x14:formula1>
            <xm:f>'Base de datos '!$D$2:$D$3</xm:f>
          </x14:formula1>
          <xm:sqref>J5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12F9D-A1FF-413D-A3D5-2C84283C9178}">
  <sheetPr codeName="Hoja2"/>
  <dimension ref="A1:H11"/>
  <sheetViews>
    <sheetView workbookViewId="0">
      <selection activeCell="C6" sqref="C6"/>
    </sheetView>
  </sheetViews>
  <sheetFormatPr baseColWidth="10" defaultRowHeight="14.4" x14ac:dyDescent="0.3"/>
  <cols>
    <col min="5" max="5" width="10.88671875" bestFit="1" customWidth="1"/>
    <col min="7" max="7" width="10" bestFit="1" customWidth="1"/>
    <col min="8" max="8" width="17" customWidth="1"/>
  </cols>
  <sheetData>
    <row r="1" spans="1:8" x14ac:dyDescent="0.3">
      <c r="A1" s="45" t="s">
        <v>11</v>
      </c>
      <c r="B1" s="46"/>
      <c r="D1" s="47" t="s">
        <v>23</v>
      </c>
      <c r="E1" s="47"/>
      <c r="G1" s="33" t="s">
        <v>26</v>
      </c>
      <c r="H1" s="35"/>
    </row>
    <row r="2" spans="1:8" x14ac:dyDescent="0.3">
      <c r="A2" s="14" t="s">
        <v>0</v>
      </c>
      <c r="B2" s="15">
        <v>360</v>
      </c>
      <c r="D2" s="20" t="s">
        <v>12</v>
      </c>
      <c r="E2" s="27" t="e">
        <f>((1-'Convertidor de tasas'!G5)^-VLOOKUP('Convertidor de tasas'!E5,'Base de datos '!A2:B11,2,FALSE))-1</f>
        <v>#N/A</v>
      </c>
      <c r="G2" s="21" t="s">
        <v>12</v>
      </c>
      <c r="H2" s="23" t="e">
        <f>1-((1+'Convertidor de tasas'!H5)^(-1/VLOOKUP('Convertidor de tasas'!I5,'Base de datos '!A2:B11,2,FALSE)))</f>
        <v>#N/A</v>
      </c>
    </row>
    <row r="3" spans="1:8" ht="15" thickBot="1" x14ac:dyDescent="0.35">
      <c r="A3" s="14" t="s">
        <v>1</v>
      </c>
      <c r="B3" s="15">
        <f>52</f>
        <v>52</v>
      </c>
      <c r="D3" s="20" t="s">
        <v>14</v>
      </c>
      <c r="E3" s="19" t="e">
        <f>((1+'Convertidor de tasas'!G5)^VLOOKUP('Convertidor de tasas'!E5,'Base de datos '!A2:B11,2,FALSE))-1</f>
        <v>#N/A</v>
      </c>
      <c r="G3" s="22" t="s">
        <v>14</v>
      </c>
      <c r="H3" s="30" t="e">
        <f>((1+'Convertidor de tasas'!H5)^(1/VLOOKUP('Convertidor de tasas'!I5,'Base de datos '!A2:B11,2,FALSE)))-1</f>
        <v>#N/A</v>
      </c>
    </row>
    <row r="4" spans="1:8" x14ac:dyDescent="0.3">
      <c r="A4" s="14" t="s">
        <v>2</v>
      </c>
      <c r="B4" s="15">
        <v>24</v>
      </c>
      <c r="D4" s="20" t="s">
        <v>13</v>
      </c>
      <c r="E4" s="18">
        <f>1*'Convertidor de tasas'!D5</f>
        <v>0</v>
      </c>
    </row>
    <row r="5" spans="1:8" x14ac:dyDescent="0.3">
      <c r="A5" s="14" t="s">
        <v>3</v>
      </c>
      <c r="B5" s="15">
        <v>12</v>
      </c>
    </row>
    <row r="6" spans="1:8" x14ac:dyDescent="0.3">
      <c r="A6" s="14" t="s">
        <v>4</v>
      </c>
      <c r="B6" s="15">
        <v>6</v>
      </c>
    </row>
    <row r="7" spans="1:8" x14ac:dyDescent="0.3">
      <c r="A7" s="14" t="s">
        <v>5</v>
      </c>
      <c r="B7" s="15">
        <v>4</v>
      </c>
    </row>
    <row r="8" spans="1:8" x14ac:dyDescent="0.3">
      <c r="A8" s="14" t="s">
        <v>6</v>
      </c>
      <c r="B8" s="15">
        <v>3</v>
      </c>
    </row>
    <row r="9" spans="1:8" x14ac:dyDescent="0.3">
      <c r="A9" s="14" t="s">
        <v>7</v>
      </c>
      <c r="B9" s="15">
        <v>2</v>
      </c>
    </row>
    <row r="10" spans="1:8" x14ac:dyDescent="0.3">
      <c r="A10" s="14" t="s">
        <v>8</v>
      </c>
      <c r="B10" s="15">
        <v>1.3</v>
      </c>
    </row>
    <row r="11" spans="1:8" ht="15" thickBot="1" x14ac:dyDescent="0.35">
      <c r="A11" s="16" t="s">
        <v>9</v>
      </c>
      <c r="B11" s="17">
        <v>1</v>
      </c>
    </row>
  </sheetData>
  <mergeCells count="3">
    <mergeCell ref="A1:B1"/>
    <mergeCell ref="D1:E1"/>
    <mergeCell ref="G1:H1"/>
  </mergeCells>
  <dataValidations disablePrompts="1" count="1">
    <dataValidation type="list" allowBlank="1" showInputMessage="1" showErrorMessage="1" sqref="A16" xr:uid="{3C545F0F-3904-4A42-BA71-7E871CD7A106}">
      <formula1>$A$2:$A$11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FAACE05A1363748B1C23B18BE123F72" ma:contentTypeVersion="12" ma:contentTypeDescription="Create a new document." ma:contentTypeScope="" ma:versionID="c9af7145e90a365dbeb1a6820dc0d87f">
  <xsd:schema xmlns:xsd="http://www.w3.org/2001/XMLSchema" xmlns:xs="http://www.w3.org/2001/XMLSchema" xmlns:p="http://schemas.microsoft.com/office/2006/metadata/properties" xmlns:ns3="c17cf958-b851-4909-9723-780e54de6c86" xmlns:ns4="6c7adbc3-d2dd-4ea0-91ad-f519259fea77" targetNamespace="http://schemas.microsoft.com/office/2006/metadata/properties" ma:root="true" ma:fieldsID="94ac3cd25dd04e761d0bfd9c8f5cbd18" ns3:_="" ns4:_="">
    <xsd:import namespace="c17cf958-b851-4909-9723-780e54de6c86"/>
    <xsd:import namespace="6c7adbc3-d2dd-4ea0-91ad-f519259fea7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17cf958-b851-4909-9723-780e54de6c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7adbc3-d2dd-4ea0-91ad-f519259fea7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9F8F567-945B-42F4-9F55-0D373AA6A8F0}">
  <ds:schemaRefs>
    <ds:schemaRef ds:uri="http://purl.org/dc/terms/"/>
    <ds:schemaRef ds:uri="6c7adbc3-d2dd-4ea0-91ad-f519259fea77"/>
    <ds:schemaRef ds:uri="http://schemas.openxmlformats.org/package/2006/metadata/core-properties"/>
    <ds:schemaRef ds:uri="http://purl.org/dc/dcmitype/"/>
    <ds:schemaRef ds:uri="http://www.w3.org/XML/1998/namespace"/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c17cf958-b851-4909-9723-780e54de6c86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B4C1914A-35BB-4F54-B0FE-142A8B9A804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17cf958-b851-4909-9723-780e54de6c86"/>
    <ds:schemaRef ds:uri="6c7adbc3-d2dd-4ea0-91ad-f519259fea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EE0713E-16C6-4DCC-A2AE-9F0159C64BA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Convertidor de tasas</vt:lpstr>
      <vt:lpstr>Base de datos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Alejandra Paez</dc:creator>
  <cp:lastModifiedBy>Alejandra Paez</cp:lastModifiedBy>
  <dcterms:created xsi:type="dcterms:W3CDTF">2021-03-07T01:52:58Z</dcterms:created>
  <dcterms:modified xsi:type="dcterms:W3CDTF">2021-03-12T12:14:05Z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0x010100AFAACE05A1363748B1C23B18BE123F72</vt:lpwstr>
  </property>
</Properties>
</file>