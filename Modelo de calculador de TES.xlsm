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alejandrapaal_unisabana_edu_co/Documents/Universidad/Semestre 3/Finanzas internacionales/"/>
    </mc:Choice>
  </mc:AlternateContent>
  <xr:revisionPtr revIDLastSave="160" documentId="8_{1E41C969-D9C0-439C-9800-52A3860D7016}" xr6:coauthVersionLast="46" xr6:coauthVersionMax="46" xr10:uidLastSave="{BFB13483-A923-4A9F-B6B8-13264A3B860B}"/>
  <bookViews>
    <workbookView xWindow="-108" yWindow="-108" windowWidth="23256" windowHeight="12576" xr2:uid="{8CA5BE72-5E8E-412F-A04E-46BC06E55A1B}"/>
  </bookViews>
  <sheets>
    <sheet name="Modelos de TES" sheetId="1" r:id="rId1"/>
    <sheet name="Base de datos 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K3" i="1" s="1"/>
  <c r="E3" i="1"/>
  <c r="J3" i="1" s="1"/>
  <c r="E13" i="2"/>
  <c r="G3" i="2" l="1"/>
  <c r="G4" i="2" s="1"/>
  <c r="H4" i="2" s="1"/>
  <c r="I4" i="2" s="1"/>
  <c r="F2" i="2"/>
  <c r="G2" i="2"/>
  <c r="N3" i="1" s="1"/>
  <c r="D2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E14" i="2"/>
  <c r="G5" i="2" l="1"/>
  <c r="G6" i="2" s="1"/>
  <c r="G7" i="2" s="1"/>
  <c r="G8" i="2" s="1"/>
  <c r="G9" i="2" s="1"/>
  <c r="G10" i="2" s="1"/>
  <c r="H10" i="2" s="1"/>
  <c r="I10" i="2" s="1"/>
  <c r="H3" i="2"/>
  <c r="I3" i="2" s="1"/>
  <c r="E15" i="2"/>
  <c r="F23" i="2"/>
  <c r="H5" i="2" l="1"/>
  <c r="I5" i="2" s="1"/>
  <c r="E16" i="2"/>
  <c r="H6" i="2"/>
  <c r="I6" i="2" s="1"/>
  <c r="F24" i="2"/>
  <c r="E17" i="2" l="1"/>
  <c r="H7" i="2"/>
  <c r="I7" i="2" s="1"/>
  <c r="F25" i="2"/>
  <c r="E18" i="2" l="1"/>
  <c r="H8" i="2"/>
  <c r="I8" i="2" s="1"/>
  <c r="F26" i="2"/>
  <c r="E19" i="2" l="1"/>
  <c r="H9" i="2"/>
  <c r="I9" i="2" s="1"/>
  <c r="F27" i="2"/>
  <c r="E20" i="2" l="1"/>
  <c r="G11" i="2"/>
  <c r="F28" i="2"/>
  <c r="G12" i="2" l="1"/>
  <c r="H11" i="2"/>
  <c r="I11" i="2" s="1"/>
  <c r="E21" i="2"/>
  <c r="F29" i="2"/>
  <c r="E22" i="2" l="1"/>
  <c r="G13" i="2"/>
  <c r="H12" i="2"/>
  <c r="I12" i="2" s="1"/>
  <c r="F30" i="2"/>
  <c r="G14" i="2" l="1"/>
  <c r="H13" i="2"/>
  <c r="I13" i="2" s="1"/>
  <c r="E23" i="2"/>
  <c r="F31" i="2"/>
  <c r="E24" i="2" l="1"/>
  <c r="G15" i="2"/>
  <c r="H14" i="2"/>
  <c r="I14" i="2" s="1"/>
  <c r="F32" i="2"/>
  <c r="G16" i="2" l="1"/>
  <c r="H15" i="2"/>
  <c r="I15" i="2" s="1"/>
  <c r="E25" i="2"/>
  <c r="F33" i="2"/>
  <c r="E26" i="2" l="1"/>
  <c r="G17" i="2"/>
  <c r="H16" i="2"/>
  <c r="I16" i="2" s="1"/>
  <c r="F34" i="2"/>
  <c r="G18" i="2" l="1"/>
  <c r="H18" i="2" s="1"/>
  <c r="H17" i="2"/>
  <c r="I17" i="2" s="1"/>
  <c r="E27" i="2"/>
  <c r="F35" i="2"/>
  <c r="E28" i="2" l="1"/>
  <c r="G19" i="2"/>
  <c r="I18" i="2"/>
  <c r="F36" i="2"/>
  <c r="G20" i="2" l="1"/>
  <c r="H19" i="2"/>
  <c r="I19" i="2" s="1"/>
  <c r="E29" i="2"/>
  <c r="F37" i="2"/>
  <c r="E30" i="2" l="1"/>
  <c r="G21" i="2"/>
  <c r="H20" i="2"/>
  <c r="I20" i="2" s="1"/>
  <c r="F38" i="2"/>
  <c r="G22" i="2" l="1"/>
  <c r="H21" i="2"/>
  <c r="I21" i="2" s="1"/>
  <c r="E31" i="2"/>
  <c r="F39" i="2"/>
  <c r="E32" i="2" l="1"/>
  <c r="G23" i="2"/>
  <c r="H22" i="2"/>
  <c r="I22" i="2" s="1"/>
  <c r="F40" i="2"/>
  <c r="G24" i="2" l="1"/>
  <c r="H23" i="2"/>
  <c r="I23" i="2" s="1"/>
  <c r="E33" i="2"/>
  <c r="I32" i="2"/>
  <c r="F41" i="2"/>
  <c r="E34" i="2" l="1"/>
  <c r="I33" i="2"/>
  <c r="G25" i="2"/>
  <c r="H24" i="2"/>
  <c r="I24" i="2" s="1"/>
  <c r="F42" i="2"/>
  <c r="G26" i="2" l="1"/>
  <c r="H25" i="2"/>
  <c r="I25" i="2" s="1"/>
  <c r="E35" i="2"/>
  <c r="I34" i="2"/>
  <c r="F43" i="2"/>
  <c r="E36" i="2" l="1"/>
  <c r="I35" i="2"/>
  <c r="G27" i="2"/>
  <c r="H26" i="2"/>
  <c r="I26" i="2" s="1"/>
  <c r="F44" i="2"/>
  <c r="G28" i="2" l="1"/>
  <c r="H27" i="2"/>
  <c r="I27" i="2" s="1"/>
  <c r="E37" i="2"/>
  <c r="I36" i="2"/>
  <c r="F45" i="2"/>
  <c r="E38" i="2" l="1"/>
  <c r="I37" i="2"/>
  <c r="G29" i="2"/>
  <c r="H28" i="2"/>
  <c r="I28" i="2" s="1"/>
  <c r="F46" i="2"/>
  <c r="G30" i="2" l="1"/>
  <c r="H29" i="2"/>
  <c r="I29" i="2" s="1"/>
  <c r="E39" i="2"/>
  <c r="I38" i="2"/>
  <c r="F47" i="2"/>
  <c r="E40" i="2" l="1"/>
  <c r="I39" i="2"/>
  <c r="G31" i="2"/>
  <c r="H30" i="2"/>
  <c r="I30" i="2" s="1"/>
  <c r="F48" i="2"/>
  <c r="G32" i="2" l="1"/>
  <c r="H31" i="2"/>
  <c r="I31" i="2" s="1"/>
  <c r="E41" i="2"/>
  <c r="I40" i="2"/>
  <c r="F49" i="2"/>
  <c r="E42" i="2" l="1"/>
  <c r="I41" i="2"/>
  <c r="G33" i="2"/>
  <c r="H32" i="2"/>
  <c r="F50" i="2"/>
  <c r="G34" i="2" l="1"/>
  <c r="H33" i="2"/>
  <c r="E43" i="2"/>
  <c r="I42" i="2"/>
  <c r="F51" i="2"/>
  <c r="E44" i="2" l="1"/>
  <c r="I43" i="2"/>
  <c r="G35" i="2"/>
  <c r="H34" i="2"/>
  <c r="F52" i="2"/>
  <c r="G36" i="2" l="1"/>
  <c r="H35" i="2"/>
  <c r="E45" i="2"/>
  <c r="I44" i="2"/>
  <c r="F53" i="2"/>
  <c r="G37" i="2" l="1"/>
  <c r="H36" i="2"/>
  <c r="E46" i="2"/>
  <c r="I45" i="2"/>
  <c r="F54" i="2"/>
  <c r="E47" i="2" l="1"/>
  <c r="I46" i="2"/>
  <c r="G38" i="2"/>
  <c r="H37" i="2"/>
  <c r="F55" i="2"/>
  <c r="E48" i="2" l="1"/>
  <c r="I47" i="2"/>
  <c r="G39" i="2"/>
  <c r="H38" i="2"/>
  <c r="F56" i="2"/>
  <c r="G40" i="2" l="1"/>
  <c r="H39" i="2"/>
  <c r="E49" i="2"/>
  <c r="I48" i="2"/>
  <c r="F57" i="2"/>
  <c r="G41" i="2" l="1"/>
  <c r="H40" i="2"/>
  <c r="E50" i="2"/>
  <c r="I49" i="2"/>
  <c r="F58" i="2"/>
  <c r="E51" i="2" l="1"/>
  <c r="I50" i="2"/>
  <c r="G42" i="2"/>
  <c r="H41" i="2"/>
  <c r="F59" i="2"/>
  <c r="G43" i="2" l="1"/>
  <c r="H42" i="2"/>
  <c r="E52" i="2"/>
  <c r="I51" i="2"/>
  <c r="F60" i="2"/>
  <c r="E53" i="2" l="1"/>
  <c r="I52" i="2"/>
  <c r="G44" i="2"/>
  <c r="H43" i="2"/>
  <c r="F61" i="2"/>
  <c r="G45" i="2" l="1"/>
  <c r="H44" i="2"/>
  <c r="E54" i="2"/>
  <c r="I53" i="2"/>
  <c r="F62" i="2"/>
  <c r="E55" i="2" l="1"/>
  <c r="I54" i="2"/>
  <c r="G46" i="2"/>
  <c r="H45" i="2"/>
  <c r="F63" i="2"/>
  <c r="G47" i="2" l="1"/>
  <c r="H46" i="2"/>
  <c r="E56" i="2"/>
  <c r="I55" i="2"/>
  <c r="F64" i="2"/>
  <c r="E57" i="2" l="1"/>
  <c r="I56" i="2"/>
  <c r="G48" i="2"/>
  <c r="H47" i="2"/>
  <c r="F65" i="2"/>
  <c r="G49" i="2" l="1"/>
  <c r="H48" i="2"/>
  <c r="E58" i="2"/>
  <c r="I57" i="2"/>
  <c r="F66" i="2"/>
  <c r="E59" i="2" l="1"/>
  <c r="I58" i="2"/>
  <c r="G50" i="2"/>
  <c r="H49" i="2"/>
  <c r="F67" i="2"/>
  <c r="G51" i="2" l="1"/>
  <c r="H50" i="2"/>
  <c r="E60" i="2"/>
  <c r="I59" i="2"/>
  <c r="F68" i="2"/>
  <c r="G52" i="2" l="1"/>
  <c r="H51" i="2"/>
  <c r="E61" i="2"/>
  <c r="I60" i="2"/>
  <c r="F69" i="2"/>
  <c r="E62" i="2" l="1"/>
  <c r="I61" i="2"/>
  <c r="G53" i="2"/>
  <c r="H52" i="2"/>
  <c r="F70" i="2"/>
  <c r="G54" i="2" l="1"/>
  <c r="H53" i="2"/>
  <c r="E63" i="2"/>
  <c r="I62" i="2"/>
  <c r="F71" i="2"/>
  <c r="E64" i="2" l="1"/>
  <c r="I63" i="2"/>
  <c r="G55" i="2"/>
  <c r="H54" i="2"/>
  <c r="F72" i="2"/>
  <c r="E65" i="2" l="1"/>
  <c r="I64" i="2"/>
  <c r="G56" i="2"/>
  <c r="H55" i="2"/>
  <c r="F73" i="2"/>
  <c r="G57" i="2" l="1"/>
  <c r="H56" i="2"/>
  <c r="E66" i="2"/>
  <c r="I65" i="2"/>
  <c r="F74" i="2"/>
  <c r="E67" i="2" l="1"/>
  <c r="I66" i="2"/>
  <c r="G58" i="2"/>
  <c r="H57" i="2"/>
  <c r="F75" i="2"/>
  <c r="E68" i="2" l="1"/>
  <c r="I67" i="2"/>
  <c r="G59" i="2"/>
  <c r="H58" i="2"/>
  <c r="F76" i="2"/>
  <c r="G60" i="2" l="1"/>
  <c r="H59" i="2"/>
  <c r="E69" i="2"/>
  <c r="I68" i="2"/>
  <c r="F77" i="2"/>
  <c r="E70" i="2" l="1"/>
  <c r="I69" i="2"/>
  <c r="G61" i="2"/>
  <c r="H60" i="2"/>
  <c r="F78" i="2"/>
  <c r="G62" i="2" l="1"/>
  <c r="H61" i="2"/>
  <c r="E71" i="2"/>
  <c r="I70" i="2"/>
  <c r="F79" i="2"/>
  <c r="E72" i="2" l="1"/>
  <c r="I71" i="2"/>
  <c r="G63" i="2"/>
  <c r="H62" i="2"/>
  <c r="F80" i="2"/>
  <c r="G64" i="2" l="1"/>
  <c r="H63" i="2"/>
  <c r="E73" i="2"/>
  <c r="I72" i="2"/>
  <c r="F81" i="2"/>
  <c r="E74" i="2" l="1"/>
  <c r="I73" i="2"/>
  <c r="G65" i="2"/>
  <c r="H64" i="2"/>
  <c r="F82" i="2"/>
  <c r="G66" i="2" l="1"/>
  <c r="H65" i="2"/>
  <c r="E75" i="2"/>
  <c r="I74" i="2"/>
  <c r="F83" i="2"/>
  <c r="E76" i="2" l="1"/>
  <c r="I75" i="2"/>
  <c r="G67" i="2"/>
  <c r="H66" i="2"/>
  <c r="F84" i="2"/>
  <c r="G68" i="2" l="1"/>
  <c r="H67" i="2"/>
  <c r="E77" i="2"/>
  <c r="I76" i="2"/>
  <c r="F85" i="2"/>
  <c r="G69" i="2" l="1"/>
  <c r="H68" i="2"/>
  <c r="E78" i="2"/>
  <c r="I77" i="2"/>
  <c r="F86" i="2"/>
  <c r="E79" i="2" l="1"/>
  <c r="I78" i="2"/>
  <c r="G70" i="2"/>
  <c r="H69" i="2"/>
  <c r="F87" i="2"/>
  <c r="G71" i="2" l="1"/>
  <c r="H70" i="2"/>
  <c r="E80" i="2"/>
  <c r="I79" i="2"/>
  <c r="F88" i="2"/>
  <c r="E81" i="2" l="1"/>
  <c r="I80" i="2"/>
  <c r="G72" i="2"/>
  <c r="H71" i="2"/>
  <c r="F89" i="2"/>
  <c r="G73" i="2" l="1"/>
  <c r="H72" i="2"/>
  <c r="E82" i="2"/>
  <c r="I81" i="2"/>
  <c r="F90" i="2"/>
  <c r="E83" i="2" l="1"/>
  <c r="I82" i="2"/>
  <c r="G74" i="2"/>
  <c r="H73" i="2"/>
  <c r="F91" i="2"/>
  <c r="G75" i="2" l="1"/>
  <c r="H74" i="2"/>
  <c r="E84" i="2"/>
  <c r="I83" i="2"/>
  <c r="F92" i="2"/>
  <c r="G76" i="2" l="1"/>
  <c r="H75" i="2"/>
  <c r="E85" i="2"/>
  <c r="I84" i="2"/>
  <c r="F93" i="2"/>
  <c r="E86" i="2" l="1"/>
  <c r="I85" i="2"/>
  <c r="G77" i="2"/>
  <c r="H76" i="2"/>
  <c r="F94" i="2"/>
  <c r="G78" i="2" l="1"/>
  <c r="H77" i="2"/>
  <c r="E87" i="2"/>
  <c r="I86" i="2"/>
  <c r="F95" i="2"/>
  <c r="E88" i="2" l="1"/>
  <c r="I87" i="2"/>
  <c r="G79" i="2"/>
  <c r="H78" i="2"/>
  <c r="F96" i="2"/>
  <c r="G80" i="2" l="1"/>
  <c r="H79" i="2"/>
  <c r="E89" i="2"/>
  <c r="I88" i="2"/>
  <c r="F97" i="2"/>
  <c r="E90" i="2" l="1"/>
  <c r="I89" i="2"/>
  <c r="G81" i="2"/>
  <c r="H80" i="2"/>
  <c r="F98" i="2"/>
  <c r="G82" i="2" l="1"/>
  <c r="H81" i="2"/>
  <c r="E91" i="2"/>
  <c r="I90" i="2"/>
  <c r="F99" i="2"/>
  <c r="E92" i="2" l="1"/>
  <c r="I91" i="2"/>
  <c r="G83" i="2"/>
  <c r="H82" i="2"/>
  <c r="F100" i="2"/>
  <c r="G84" i="2" l="1"/>
  <c r="H83" i="2"/>
  <c r="E93" i="2"/>
  <c r="I92" i="2"/>
  <c r="F101" i="2"/>
  <c r="G85" i="2" l="1"/>
  <c r="H84" i="2"/>
  <c r="E94" i="2"/>
  <c r="I93" i="2"/>
  <c r="F102" i="2"/>
  <c r="E95" i="2" l="1"/>
  <c r="I94" i="2"/>
  <c r="G86" i="2"/>
  <c r="H85" i="2"/>
  <c r="F103" i="2"/>
  <c r="G87" i="2" l="1"/>
  <c r="H86" i="2"/>
  <c r="E96" i="2"/>
  <c r="I95" i="2"/>
  <c r="F104" i="2"/>
  <c r="E97" i="2" l="1"/>
  <c r="I96" i="2"/>
  <c r="G88" i="2"/>
  <c r="H87" i="2"/>
  <c r="F105" i="2"/>
  <c r="G89" i="2" l="1"/>
  <c r="H88" i="2"/>
  <c r="E98" i="2"/>
  <c r="I97" i="2"/>
  <c r="F106" i="2"/>
  <c r="E99" i="2" l="1"/>
  <c r="I98" i="2"/>
  <c r="G90" i="2"/>
  <c r="H89" i="2"/>
  <c r="F107" i="2"/>
  <c r="G91" i="2" l="1"/>
  <c r="H90" i="2"/>
  <c r="E100" i="2"/>
  <c r="I99" i="2"/>
  <c r="F108" i="2"/>
  <c r="E101" i="2" l="1"/>
  <c r="I100" i="2"/>
  <c r="G92" i="2"/>
  <c r="H91" i="2"/>
  <c r="F109" i="2"/>
  <c r="G93" i="2" l="1"/>
  <c r="H92" i="2"/>
  <c r="E102" i="2"/>
  <c r="I101" i="2"/>
  <c r="F110" i="2"/>
  <c r="E103" i="2" l="1"/>
  <c r="I102" i="2"/>
  <c r="G94" i="2"/>
  <c r="H93" i="2"/>
  <c r="F111" i="2"/>
  <c r="E104" i="2" l="1"/>
  <c r="I103" i="2"/>
  <c r="G95" i="2"/>
  <c r="H94" i="2"/>
  <c r="F112" i="2"/>
  <c r="G96" i="2" l="1"/>
  <c r="H95" i="2"/>
  <c r="E105" i="2"/>
  <c r="I104" i="2"/>
  <c r="F113" i="2"/>
  <c r="E106" i="2" l="1"/>
  <c r="I105" i="2"/>
  <c r="G97" i="2"/>
  <c r="H96" i="2"/>
  <c r="F114" i="2"/>
  <c r="G98" i="2" l="1"/>
  <c r="H97" i="2"/>
  <c r="E107" i="2"/>
  <c r="I106" i="2"/>
  <c r="F115" i="2"/>
  <c r="E108" i="2" l="1"/>
  <c r="I107" i="2"/>
  <c r="G99" i="2"/>
  <c r="H98" i="2"/>
  <c r="F116" i="2"/>
  <c r="G100" i="2" l="1"/>
  <c r="H99" i="2"/>
  <c r="E109" i="2"/>
  <c r="I108" i="2"/>
  <c r="F117" i="2"/>
  <c r="E110" i="2" l="1"/>
  <c r="I109" i="2"/>
  <c r="G101" i="2"/>
  <c r="H100" i="2"/>
  <c r="F118" i="2"/>
  <c r="G102" i="2" l="1"/>
  <c r="H101" i="2"/>
  <c r="E111" i="2"/>
  <c r="I110" i="2"/>
  <c r="F119" i="2"/>
  <c r="E112" i="2" l="1"/>
  <c r="I111" i="2"/>
  <c r="G103" i="2"/>
  <c r="H102" i="2"/>
  <c r="F120" i="2"/>
  <c r="G104" i="2" l="1"/>
  <c r="H103" i="2"/>
  <c r="E113" i="2"/>
  <c r="I112" i="2"/>
  <c r="F121" i="2"/>
  <c r="E114" i="2" l="1"/>
  <c r="I113" i="2"/>
  <c r="G105" i="2"/>
  <c r="H104" i="2"/>
  <c r="F122" i="2"/>
  <c r="G106" i="2" l="1"/>
  <c r="H105" i="2"/>
  <c r="E115" i="2"/>
  <c r="I114" i="2"/>
  <c r="F123" i="2"/>
  <c r="E116" i="2" l="1"/>
  <c r="I115" i="2"/>
  <c r="G107" i="2"/>
  <c r="H106" i="2"/>
  <c r="F124" i="2"/>
  <c r="G108" i="2" l="1"/>
  <c r="H107" i="2"/>
  <c r="E117" i="2"/>
  <c r="I116" i="2"/>
  <c r="F125" i="2"/>
  <c r="E118" i="2" l="1"/>
  <c r="I117" i="2"/>
  <c r="G109" i="2"/>
  <c r="H108" i="2"/>
  <c r="F126" i="2"/>
  <c r="G110" i="2" l="1"/>
  <c r="H109" i="2"/>
  <c r="E119" i="2"/>
  <c r="I118" i="2"/>
  <c r="F127" i="2"/>
  <c r="E120" i="2" l="1"/>
  <c r="I119" i="2"/>
  <c r="G111" i="2"/>
  <c r="H110" i="2"/>
  <c r="F128" i="2"/>
  <c r="G112" i="2" l="1"/>
  <c r="H111" i="2"/>
  <c r="E121" i="2"/>
  <c r="I120" i="2"/>
  <c r="F129" i="2"/>
  <c r="G113" i="2" l="1"/>
  <c r="H112" i="2"/>
  <c r="E122" i="2"/>
  <c r="I121" i="2"/>
  <c r="F130" i="2"/>
  <c r="E123" i="2" l="1"/>
  <c r="I122" i="2"/>
  <c r="G114" i="2"/>
  <c r="H113" i="2"/>
  <c r="F131" i="2"/>
  <c r="G115" i="2" l="1"/>
  <c r="H114" i="2"/>
  <c r="E124" i="2"/>
  <c r="I123" i="2"/>
  <c r="F132" i="2"/>
  <c r="E125" i="2" l="1"/>
  <c r="I124" i="2"/>
  <c r="G116" i="2"/>
  <c r="H115" i="2"/>
  <c r="F133" i="2"/>
  <c r="G117" i="2" l="1"/>
  <c r="H116" i="2"/>
  <c r="E126" i="2"/>
  <c r="I125" i="2"/>
  <c r="F134" i="2"/>
  <c r="E127" i="2" l="1"/>
  <c r="I126" i="2"/>
  <c r="G118" i="2"/>
  <c r="H117" i="2"/>
  <c r="F135" i="2"/>
  <c r="G119" i="2" l="1"/>
  <c r="H118" i="2"/>
  <c r="E128" i="2"/>
  <c r="I127" i="2"/>
  <c r="F136" i="2"/>
  <c r="E129" i="2" l="1"/>
  <c r="I128" i="2"/>
  <c r="G120" i="2"/>
  <c r="H119" i="2"/>
  <c r="F137" i="2"/>
  <c r="G121" i="2" l="1"/>
  <c r="H120" i="2"/>
  <c r="E130" i="2"/>
  <c r="I129" i="2"/>
  <c r="F138" i="2"/>
  <c r="E131" i="2" l="1"/>
  <c r="I130" i="2"/>
  <c r="G122" i="2"/>
  <c r="H121" i="2"/>
  <c r="F139" i="2"/>
  <c r="G123" i="2" l="1"/>
  <c r="H122" i="2"/>
  <c r="E132" i="2"/>
  <c r="I131" i="2"/>
  <c r="F140" i="2"/>
  <c r="G124" i="2" l="1"/>
  <c r="H123" i="2"/>
  <c r="E133" i="2"/>
  <c r="I132" i="2"/>
  <c r="F141" i="2"/>
  <c r="E134" i="2" l="1"/>
  <c r="I133" i="2"/>
  <c r="G125" i="2"/>
  <c r="H124" i="2"/>
  <c r="F142" i="2"/>
  <c r="G126" i="2" l="1"/>
  <c r="H125" i="2"/>
  <c r="E135" i="2"/>
  <c r="I134" i="2"/>
  <c r="F143" i="2"/>
  <c r="E136" i="2" l="1"/>
  <c r="I135" i="2"/>
  <c r="G127" i="2"/>
  <c r="H126" i="2"/>
  <c r="F144" i="2"/>
  <c r="G128" i="2" l="1"/>
  <c r="H127" i="2"/>
  <c r="E137" i="2"/>
  <c r="I136" i="2"/>
  <c r="F145" i="2"/>
  <c r="E138" i="2" l="1"/>
  <c r="I137" i="2"/>
  <c r="G129" i="2"/>
  <c r="H128" i="2"/>
  <c r="F146" i="2"/>
  <c r="G130" i="2" l="1"/>
  <c r="H129" i="2"/>
  <c r="E139" i="2"/>
  <c r="I138" i="2"/>
  <c r="F147" i="2"/>
  <c r="E140" i="2" l="1"/>
  <c r="I139" i="2"/>
  <c r="G131" i="2"/>
  <c r="H130" i="2"/>
  <c r="F148" i="2"/>
  <c r="G132" i="2" l="1"/>
  <c r="H131" i="2"/>
  <c r="E141" i="2"/>
  <c r="I140" i="2"/>
  <c r="F149" i="2"/>
  <c r="E142" i="2" l="1"/>
  <c r="I141" i="2"/>
  <c r="G133" i="2"/>
  <c r="H132" i="2"/>
  <c r="F150" i="2"/>
  <c r="G134" i="2" l="1"/>
  <c r="H133" i="2"/>
  <c r="E143" i="2"/>
  <c r="I142" i="2"/>
  <c r="F151" i="2"/>
  <c r="E144" i="2" l="1"/>
  <c r="I143" i="2"/>
  <c r="G135" i="2"/>
  <c r="H134" i="2"/>
  <c r="F152" i="2"/>
  <c r="G136" i="2" l="1"/>
  <c r="H135" i="2"/>
  <c r="E145" i="2"/>
  <c r="I144" i="2"/>
  <c r="F153" i="2"/>
  <c r="G137" i="2" l="1"/>
  <c r="H136" i="2"/>
  <c r="E146" i="2"/>
  <c r="I145" i="2"/>
  <c r="F154" i="2"/>
  <c r="E147" i="2" l="1"/>
  <c r="I146" i="2"/>
  <c r="G138" i="2"/>
  <c r="H137" i="2"/>
  <c r="F155" i="2"/>
  <c r="G139" i="2" l="1"/>
  <c r="H138" i="2"/>
  <c r="E148" i="2"/>
  <c r="I147" i="2"/>
  <c r="F156" i="2"/>
  <c r="E149" i="2" l="1"/>
  <c r="I148" i="2"/>
  <c r="G140" i="2"/>
  <c r="H139" i="2"/>
  <c r="F157" i="2"/>
  <c r="G141" i="2" l="1"/>
  <c r="H140" i="2"/>
  <c r="E150" i="2"/>
  <c r="I149" i="2"/>
  <c r="F158" i="2"/>
  <c r="E151" i="2" l="1"/>
  <c r="I150" i="2"/>
  <c r="G142" i="2"/>
  <c r="H141" i="2"/>
  <c r="F159" i="2"/>
  <c r="G143" i="2" l="1"/>
  <c r="H142" i="2"/>
  <c r="E152" i="2"/>
  <c r="I151" i="2"/>
  <c r="F160" i="2"/>
  <c r="G144" i="2" l="1"/>
  <c r="H143" i="2"/>
  <c r="E153" i="2"/>
  <c r="I152" i="2"/>
  <c r="F161" i="2"/>
  <c r="E154" i="2" l="1"/>
  <c r="I153" i="2"/>
  <c r="G145" i="2"/>
  <c r="H144" i="2"/>
  <c r="F162" i="2"/>
  <c r="G146" i="2" l="1"/>
  <c r="H145" i="2"/>
  <c r="E155" i="2"/>
  <c r="I154" i="2"/>
  <c r="F163" i="2"/>
  <c r="E156" i="2" l="1"/>
  <c r="I155" i="2"/>
  <c r="G147" i="2"/>
  <c r="H146" i="2"/>
  <c r="F164" i="2"/>
  <c r="G148" i="2" l="1"/>
  <c r="H147" i="2"/>
  <c r="E157" i="2"/>
  <c r="I156" i="2"/>
  <c r="F165" i="2"/>
  <c r="E158" i="2" l="1"/>
  <c r="I157" i="2"/>
  <c r="G149" i="2"/>
  <c r="H148" i="2"/>
  <c r="F166" i="2"/>
  <c r="G150" i="2" l="1"/>
  <c r="H149" i="2"/>
  <c r="E159" i="2"/>
  <c r="I158" i="2"/>
  <c r="F167" i="2"/>
  <c r="E160" i="2" l="1"/>
  <c r="I159" i="2"/>
  <c r="G151" i="2"/>
  <c r="H150" i="2"/>
  <c r="F168" i="2"/>
  <c r="G152" i="2" l="1"/>
  <c r="H151" i="2"/>
  <c r="E161" i="2"/>
  <c r="I160" i="2"/>
  <c r="F169" i="2"/>
  <c r="E162" i="2" l="1"/>
  <c r="I161" i="2"/>
  <c r="G153" i="2"/>
  <c r="H152" i="2"/>
  <c r="F170" i="2"/>
  <c r="G154" i="2" l="1"/>
  <c r="H153" i="2"/>
  <c r="E163" i="2"/>
  <c r="I162" i="2"/>
  <c r="F171" i="2"/>
  <c r="E164" i="2" l="1"/>
  <c r="I163" i="2"/>
  <c r="G155" i="2"/>
  <c r="H154" i="2"/>
  <c r="F172" i="2"/>
  <c r="G156" i="2" l="1"/>
  <c r="H155" i="2"/>
  <c r="E165" i="2"/>
  <c r="I164" i="2"/>
  <c r="F173" i="2"/>
  <c r="E166" i="2" l="1"/>
  <c r="I165" i="2"/>
  <c r="G157" i="2"/>
  <c r="H156" i="2"/>
  <c r="F174" i="2"/>
  <c r="G158" i="2" l="1"/>
  <c r="H157" i="2"/>
  <c r="E167" i="2"/>
  <c r="I166" i="2"/>
  <c r="F175" i="2"/>
  <c r="E168" i="2" l="1"/>
  <c r="I167" i="2"/>
  <c r="G159" i="2"/>
  <c r="H158" i="2"/>
  <c r="F176" i="2"/>
  <c r="G160" i="2" l="1"/>
  <c r="H159" i="2"/>
  <c r="E169" i="2"/>
  <c r="I168" i="2"/>
  <c r="F177" i="2"/>
  <c r="E170" i="2" l="1"/>
  <c r="I169" i="2"/>
  <c r="G161" i="2"/>
  <c r="H160" i="2"/>
  <c r="F178" i="2"/>
  <c r="G162" i="2" l="1"/>
  <c r="H161" i="2"/>
  <c r="E171" i="2"/>
  <c r="I170" i="2"/>
  <c r="F179" i="2"/>
  <c r="E172" i="2" l="1"/>
  <c r="I171" i="2"/>
  <c r="G163" i="2"/>
  <c r="H162" i="2"/>
  <c r="F180" i="2"/>
  <c r="G164" i="2" l="1"/>
  <c r="H163" i="2"/>
  <c r="E173" i="2"/>
  <c r="I172" i="2"/>
  <c r="F181" i="2"/>
  <c r="E174" i="2" l="1"/>
  <c r="I173" i="2"/>
  <c r="G165" i="2"/>
  <c r="H164" i="2"/>
  <c r="F182" i="2"/>
  <c r="G166" i="2" l="1"/>
  <c r="H165" i="2"/>
  <c r="E175" i="2"/>
  <c r="I174" i="2"/>
  <c r="F183" i="2"/>
  <c r="E176" i="2" l="1"/>
  <c r="I175" i="2"/>
  <c r="G167" i="2"/>
  <c r="H166" i="2"/>
  <c r="F184" i="2"/>
  <c r="G168" i="2" l="1"/>
  <c r="H167" i="2"/>
  <c r="E177" i="2"/>
  <c r="I176" i="2"/>
  <c r="F185" i="2"/>
  <c r="E178" i="2" l="1"/>
  <c r="I177" i="2"/>
  <c r="G169" i="2"/>
  <c r="H168" i="2"/>
  <c r="F186" i="2"/>
  <c r="G170" i="2" l="1"/>
  <c r="H169" i="2"/>
  <c r="E179" i="2"/>
  <c r="I178" i="2"/>
  <c r="F187" i="2"/>
  <c r="E180" i="2" l="1"/>
  <c r="I179" i="2"/>
  <c r="G171" i="2"/>
  <c r="H170" i="2"/>
  <c r="F188" i="2"/>
  <c r="G172" i="2" l="1"/>
  <c r="H171" i="2"/>
  <c r="E181" i="2"/>
  <c r="I180" i="2"/>
  <c r="F189" i="2"/>
  <c r="E182" i="2" l="1"/>
  <c r="I181" i="2"/>
  <c r="G173" i="2"/>
  <c r="H172" i="2"/>
  <c r="F190" i="2"/>
  <c r="G174" i="2" l="1"/>
  <c r="H173" i="2"/>
  <c r="E183" i="2"/>
  <c r="I182" i="2"/>
  <c r="F191" i="2"/>
  <c r="E184" i="2" l="1"/>
  <c r="I183" i="2"/>
  <c r="G175" i="2"/>
  <c r="H174" i="2"/>
  <c r="F192" i="2"/>
  <c r="G176" i="2" l="1"/>
  <c r="H175" i="2"/>
  <c r="E185" i="2"/>
  <c r="I184" i="2"/>
  <c r="F193" i="2"/>
  <c r="E186" i="2" l="1"/>
  <c r="I185" i="2"/>
  <c r="G177" i="2"/>
  <c r="H176" i="2"/>
  <c r="F194" i="2"/>
  <c r="G178" i="2" l="1"/>
  <c r="H177" i="2"/>
  <c r="E187" i="2"/>
  <c r="I186" i="2"/>
  <c r="F195" i="2"/>
  <c r="E188" i="2" l="1"/>
  <c r="I187" i="2"/>
  <c r="G179" i="2"/>
  <c r="H178" i="2"/>
  <c r="F196" i="2"/>
  <c r="G180" i="2" l="1"/>
  <c r="H179" i="2"/>
  <c r="E189" i="2"/>
  <c r="I188" i="2"/>
  <c r="F197" i="2"/>
  <c r="E190" i="2" l="1"/>
  <c r="I189" i="2"/>
  <c r="G181" i="2"/>
  <c r="H180" i="2"/>
  <c r="F198" i="2"/>
  <c r="G182" i="2" l="1"/>
  <c r="H181" i="2"/>
  <c r="E191" i="2"/>
  <c r="I190" i="2"/>
  <c r="F199" i="2"/>
  <c r="E192" i="2" l="1"/>
  <c r="I191" i="2"/>
  <c r="G183" i="2"/>
  <c r="H182" i="2"/>
  <c r="F200" i="2"/>
  <c r="G184" i="2" l="1"/>
  <c r="H183" i="2"/>
  <c r="E193" i="2"/>
  <c r="I192" i="2"/>
  <c r="F201" i="2"/>
  <c r="E194" i="2" l="1"/>
  <c r="I193" i="2"/>
  <c r="G185" i="2"/>
  <c r="H184" i="2"/>
  <c r="F202" i="2"/>
  <c r="G186" i="2" l="1"/>
  <c r="H185" i="2"/>
  <c r="E195" i="2"/>
  <c r="I194" i="2"/>
  <c r="F203" i="2"/>
  <c r="E196" i="2" l="1"/>
  <c r="I195" i="2"/>
  <c r="G187" i="2"/>
  <c r="H186" i="2"/>
  <c r="F204" i="2"/>
  <c r="G188" i="2" l="1"/>
  <c r="H187" i="2"/>
  <c r="E197" i="2"/>
  <c r="I196" i="2"/>
  <c r="F205" i="2"/>
  <c r="E198" i="2" l="1"/>
  <c r="I197" i="2"/>
  <c r="G189" i="2"/>
  <c r="H188" i="2"/>
  <c r="F206" i="2"/>
  <c r="G190" i="2" l="1"/>
  <c r="H189" i="2"/>
  <c r="E199" i="2"/>
  <c r="I198" i="2"/>
  <c r="F207" i="2"/>
  <c r="E200" i="2" l="1"/>
  <c r="I199" i="2"/>
  <c r="G191" i="2"/>
  <c r="H190" i="2"/>
  <c r="F208" i="2"/>
  <c r="G192" i="2" l="1"/>
  <c r="H191" i="2"/>
  <c r="E201" i="2"/>
  <c r="I200" i="2"/>
  <c r="F209" i="2"/>
  <c r="E202" i="2" l="1"/>
  <c r="I201" i="2"/>
  <c r="G193" i="2"/>
  <c r="H192" i="2"/>
  <c r="F210" i="2"/>
  <c r="G194" i="2" l="1"/>
  <c r="H193" i="2"/>
  <c r="E203" i="2"/>
  <c r="I202" i="2"/>
  <c r="F211" i="2"/>
  <c r="E204" i="2" l="1"/>
  <c r="I203" i="2"/>
  <c r="G195" i="2"/>
  <c r="H194" i="2"/>
  <c r="F212" i="2"/>
  <c r="G196" i="2" l="1"/>
  <c r="H195" i="2"/>
  <c r="E205" i="2"/>
  <c r="I204" i="2"/>
  <c r="F213" i="2"/>
  <c r="E206" i="2" l="1"/>
  <c r="I205" i="2"/>
  <c r="G197" i="2"/>
  <c r="H196" i="2"/>
  <c r="F214" i="2"/>
  <c r="G198" i="2" l="1"/>
  <c r="H197" i="2"/>
  <c r="E207" i="2"/>
  <c r="I206" i="2"/>
  <c r="F215" i="2"/>
  <c r="E208" i="2" l="1"/>
  <c r="I207" i="2"/>
  <c r="G199" i="2"/>
  <c r="H198" i="2"/>
  <c r="F216" i="2"/>
  <c r="G200" i="2" l="1"/>
  <c r="H199" i="2"/>
  <c r="E209" i="2"/>
  <c r="I208" i="2"/>
  <c r="F217" i="2"/>
  <c r="E210" i="2" l="1"/>
  <c r="I209" i="2"/>
  <c r="G201" i="2"/>
  <c r="H200" i="2"/>
  <c r="F218" i="2"/>
  <c r="G202" i="2" l="1"/>
  <c r="H201" i="2"/>
  <c r="E211" i="2"/>
  <c r="I210" i="2"/>
  <c r="F219" i="2"/>
  <c r="E212" i="2" l="1"/>
  <c r="I211" i="2"/>
  <c r="G203" i="2"/>
  <c r="H202" i="2"/>
  <c r="F220" i="2"/>
  <c r="G204" i="2" l="1"/>
  <c r="H203" i="2"/>
  <c r="E213" i="2"/>
  <c r="I212" i="2"/>
  <c r="F221" i="2"/>
  <c r="E214" i="2" l="1"/>
  <c r="I213" i="2"/>
  <c r="G205" i="2"/>
  <c r="H204" i="2"/>
  <c r="F222" i="2"/>
  <c r="G206" i="2" l="1"/>
  <c r="H205" i="2"/>
  <c r="E215" i="2"/>
  <c r="I214" i="2"/>
  <c r="F223" i="2"/>
  <c r="E216" i="2" l="1"/>
  <c r="I215" i="2"/>
  <c r="G207" i="2"/>
  <c r="H206" i="2"/>
  <c r="F224" i="2"/>
  <c r="G208" i="2" l="1"/>
  <c r="H207" i="2"/>
  <c r="E217" i="2"/>
  <c r="I216" i="2"/>
  <c r="F225" i="2"/>
  <c r="E218" i="2" l="1"/>
  <c r="I217" i="2"/>
  <c r="G209" i="2"/>
  <c r="H208" i="2"/>
  <c r="F226" i="2"/>
  <c r="G210" i="2" l="1"/>
  <c r="H209" i="2"/>
  <c r="E219" i="2"/>
  <c r="I218" i="2"/>
  <c r="F227" i="2"/>
  <c r="E220" i="2" l="1"/>
  <c r="I219" i="2"/>
  <c r="G211" i="2"/>
  <c r="H210" i="2"/>
  <c r="F228" i="2"/>
  <c r="G212" i="2" l="1"/>
  <c r="H211" i="2"/>
  <c r="E221" i="2"/>
  <c r="I220" i="2"/>
  <c r="F229" i="2"/>
  <c r="E222" i="2" l="1"/>
  <c r="I221" i="2"/>
  <c r="G213" i="2"/>
  <c r="H212" i="2"/>
  <c r="F230" i="2"/>
  <c r="G214" i="2" l="1"/>
  <c r="H213" i="2"/>
  <c r="E223" i="2"/>
  <c r="I222" i="2"/>
  <c r="F231" i="2"/>
  <c r="E224" i="2" l="1"/>
  <c r="I223" i="2"/>
  <c r="G215" i="2"/>
  <c r="H214" i="2"/>
  <c r="F232" i="2"/>
  <c r="G216" i="2" l="1"/>
  <c r="H215" i="2"/>
  <c r="E225" i="2"/>
  <c r="I224" i="2"/>
  <c r="F233" i="2"/>
  <c r="E226" i="2" l="1"/>
  <c r="I225" i="2"/>
  <c r="G217" i="2"/>
  <c r="H216" i="2"/>
  <c r="F234" i="2"/>
  <c r="G218" i="2" l="1"/>
  <c r="H217" i="2"/>
  <c r="E227" i="2"/>
  <c r="I226" i="2"/>
  <c r="F235" i="2"/>
  <c r="E228" i="2" l="1"/>
  <c r="I227" i="2"/>
  <c r="G219" i="2"/>
  <c r="H218" i="2"/>
  <c r="F236" i="2"/>
  <c r="G220" i="2" l="1"/>
  <c r="H219" i="2"/>
  <c r="E229" i="2"/>
  <c r="I228" i="2"/>
  <c r="F237" i="2"/>
  <c r="E230" i="2" l="1"/>
  <c r="I229" i="2"/>
  <c r="G221" i="2"/>
  <c r="H220" i="2"/>
  <c r="F238" i="2"/>
  <c r="G222" i="2" l="1"/>
  <c r="H221" i="2"/>
  <c r="E231" i="2"/>
  <c r="I230" i="2"/>
  <c r="F239" i="2"/>
  <c r="E232" i="2" l="1"/>
  <c r="I231" i="2"/>
  <c r="G223" i="2"/>
  <c r="H222" i="2"/>
  <c r="F240" i="2"/>
  <c r="G224" i="2" l="1"/>
  <c r="H223" i="2"/>
  <c r="E233" i="2"/>
  <c r="I232" i="2"/>
  <c r="F241" i="2"/>
  <c r="E234" i="2" l="1"/>
  <c r="I233" i="2"/>
  <c r="G225" i="2"/>
  <c r="H224" i="2"/>
  <c r="F242" i="2"/>
  <c r="G226" i="2" l="1"/>
  <c r="H225" i="2"/>
  <c r="E235" i="2"/>
  <c r="I234" i="2"/>
  <c r="F243" i="2"/>
  <c r="E236" i="2" l="1"/>
  <c r="I235" i="2"/>
  <c r="G227" i="2"/>
  <c r="H226" i="2"/>
  <c r="F244" i="2"/>
  <c r="G228" i="2" l="1"/>
  <c r="H227" i="2"/>
  <c r="E237" i="2"/>
  <c r="I236" i="2"/>
  <c r="F245" i="2"/>
  <c r="E238" i="2" l="1"/>
  <c r="I237" i="2"/>
  <c r="G229" i="2"/>
  <c r="H228" i="2"/>
  <c r="F246" i="2"/>
  <c r="G230" i="2" l="1"/>
  <c r="H229" i="2"/>
  <c r="E239" i="2"/>
  <c r="I238" i="2"/>
  <c r="F247" i="2"/>
  <c r="E240" i="2" l="1"/>
  <c r="I239" i="2"/>
  <c r="G231" i="2"/>
  <c r="H230" i="2"/>
  <c r="F248" i="2"/>
  <c r="G232" i="2" l="1"/>
  <c r="H231" i="2"/>
  <c r="E241" i="2"/>
  <c r="I240" i="2"/>
  <c r="F249" i="2"/>
  <c r="E242" i="2" l="1"/>
  <c r="I241" i="2"/>
  <c r="G233" i="2"/>
  <c r="H232" i="2"/>
  <c r="F250" i="2"/>
  <c r="G234" i="2" l="1"/>
  <c r="H233" i="2"/>
  <c r="E243" i="2"/>
  <c r="I242" i="2"/>
  <c r="F251" i="2"/>
  <c r="E244" i="2" l="1"/>
  <c r="I243" i="2"/>
  <c r="G235" i="2"/>
  <c r="H234" i="2"/>
  <c r="F252" i="2"/>
  <c r="G236" i="2" l="1"/>
  <c r="H235" i="2"/>
  <c r="E245" i="2"/>
  <c r="I244" i="2"/>
  <c r="F253" i="2"/>
  <c r="E246" i="2" l="1"/>
  <c r="I245" i="2"/>
  <c r="G237" i="2"/>
  <c r="H236" i="2"/>
  <c r="F254" i="2"/>
  <c r="G238" i="2" l="1"/>
  <c r="H237" i="2"/>
  <c r="E247" i="2"/>
  <c r="I246" i="2"/>
  <c r="F255" i="2"/>
  <c r="E248" i="2" l="1"/>
  <c r="I247" i="2"/>
  <c r="G239" i="2"/>
  <c r="H238" i="2"/>
  <c r="F256" i="2"/>
  <c r="G240" i="2" l="1"/>
  <c r="H239" i="2"/>
  <c r="E249" i="2"/>
  <c r="I248" i="2"/>
  <c r="F257" i="2"/>
  <c r="E250" i="2" l="1"/>
  <c r="I249" i="2"/>
  <c r="G241" i="2"/>
  <c r="H240" i="2"/>
  <c r="F258" i="2"/>
  <c r="G242" i="2" l="1"/>
  <c r="H241" i="2"/>
  <c r="E251" i="2"/>
  <c r="I250" i="2"/>
  <c r="F259" i="2"/>
  <c r="E252" i="2" l="1"/>
  <c r="I251" i="2"/>
  <c r="G243" i="2"/>
  <c r="H242" i="2"/>
  <c r="F260" i="2"/>
  <c r="G244" i="2" l="1"/>
  <c r="H243" i="2"/>
  <c r="E253" i="2"/>
  <c r="I252" i="2"/>
  <c r="F261" i="2"/>
  <c r="E254" i="2" l="1"/>
  <c r="I253" i="2"/>
  <c r="G245" i="2"/>
  <c r="H244" i="2"/>
  <c r="F262" i="2"/>
  <c r="G246" i="2" l="1"/>
  <c r="H245" i="2"/>
  <c r="E255" i="2"/>
  <c r="I254" i="2"/>
  <c r="F263" i="2"/>
  <c r="E256" i="2" l="1"/>
  <c r="I255" i="2"/>
  <c r="G247" i="2"/>
  <c r="H246" i="2"/>
  <c r="F264" i="2"/>
  <c r="G248" i="2" l="1"/>
  <c r="H247" i="2"/>
  <c r="E257" i="2"/>
  <c r="I256" i="2"/>
  <c r="F265" i="2"/>
  <c r="E258" i="2" l="1"/>
  <c r="I257" i="2"/>
  <c r="G249" i="2"/>
  <c r="H248" i="2"/>
  <c r="F266" i="2"/>
  <c r="G250" i="2" l="1"/>
  <c r="H249" i="2"/>
  <c r="E259" i="2"/>
  <c r="I258" i="2"/>
  <c r="F267" i="2"/>
  <c r="E260" i="2" l="1"/>
  <c r="I259" i="2"/>
  <c r="G251" i="2"/>
  <c r="H250" i="2"/>
  <c r="F268" i="2"/>
  <c r="G252" i="2" l="1"/>
  <c r="H251" i="2"/>
  <c r="E261" i="2"/>
  <c r="I260" i="2"/>
  <c r="F269" i="2"/>
  <c r="E262" i="2" l="1"/>
  <c r="I261" i="2"/>
  <c r="G253" i="2"/>
  <c r="H252" i="2"/>
  <c r="F270" i="2"/>
  <c r="G254" i="2" l="1"/>
  <c r="H253" i="2"/>
  <c r="E263" i="2"/>
  <c r="I262" i="2"/>
  <c r="F271" i="2"/>
  <c r="E264" i="2" l="1"/>
  <c r="I263" i="2"/>
  <c r="G255" i="2"/>
  <c r="H254" i="2"/>
  <c r="F272" i="2"/>
  <c r="G256" i="2" l="1"/>
  <c r="H255" i="2"/>
  <c r="E265" i="2"/>
  <c r="I264" i="2"/>
  <c r="F273" i="2"/>
  <c r="E266" i="2" l="1"/>
  <c r="I265" i="2"/>
  <c r="G257" i="2"/>
  <c r="H256" i="2"/>
  <c r="F274" i="2"/>
  <c r="G258" i="2" l="1"/>
  <c r="H257" i="2"/>
  <c r="E267" i="2"/>
  <c r="I266" i="2"/>
  <c r="F275" i="2"/>
  <c r="E268" i="2" l="1"/>
  <c r="I267" i="2"/>
  <c r="G259" i="2"/>
  <c r="H258" i="2"/>
  <c r="F276" i="2"/>
  <c r="G260" i="2" l="1"/>
  <c r="H259" i="2"/>
  <c r="E269" i="2"/>
  <c r="I268" i="2"/>
  <c r="F277" i="2"/>
  <c r="E270" i="2" l="1"/>
  <c r="I269" i="2"/>
  <c r="G261" i="2"/>
  <c r="H260" i="2"/>
  <c r="F278" i="2"/>
  <c r="G262" i="2" l="1"/>
  <c r="H261" i="2"/>
  <c r="E271" i="2"/>
  <c r="I270" i="2"/>
  <c r="F279" i="2"/>
  <c r="E272" i="2" l="1"/>
  <c r="I271" i="2"/>
  <c r="G263" i="2"/>
  <c r="H262" i="2"/>
  <c r="F280" i="2"/>
  <c r="G264" i="2" l="1"/>
  <c r="H263" i="2"/>
  <c r="E273" i="2"/>
  <c r="I272" i="2"/>
  <c r="F281" i="2"/>
  <c r="E274" i="2" l="1"/>
  <c r="I273" i="2"/>
  <c r="G265" i="2"/>
  <c r="H264" i="2"/>
  <c r="F282" i="2"/>
  <c r="G266" i="2" l="1"/>
  <c r="H265" i="2"/>
  <c r="E275" i="2"/>
  <c r="I274" i="2"/>
  <c r="F283" i="2"/>
  <c r="E276" i="2" l="1"/>
  <c r="I275" i="2"/>
  <c r="G267" i="2"/>
  <c r="H266" i="2"/>
  <c r="F284" i="2"/>
  <c r="E277" i="2" l="1"/>
  <c r="I276" i="2"/>
  <c r="G268" i="2"/>
  <c r="H267" i="2"/>
  <c r="F285" i="2"/>
  <c r="G269" i="2" l="1"/>
  <c r="H268" i="2"/>
  <c r="E278" i="2"/>
  <c r="I277" i="2"/>
  <c r="F286" i="2"/>
  <c r="E279" i="2" l="1"/>
  <c r="I278" i="2"/>
  <c r="G270" i="2"/>
  <c r="H269" i="2"/>
  <c r="F287" i="2"/>
  <c r="G271" i="2" l="1"/>
  <c r="H270" i="2"/>
  <c r="E280" i="2"/>
  <c r="I279" i="2"/>
  <c r="F288" i="2"/>
  <c r="E281" i="2" l="1"/>
  <c r="I280" i="2"/>
  <c r="G272" i="2"/>
  <c r="H271" i="2"/>
  <c r="F289" i="2"/>
  <c r="G273" i="2" l="1"/>
  <c r="H272" i="2"/>
  <c r="E282" i="2"/>
  <c r="I281" i="2"/>
  <c r="F290" i="2"/>
  <c r="E283" i="2" l="1"/>
  <c r="I282" i="2"/>
  <c r="G274" i="2"/>
  <c r="H273" i="2"/>
  <c r="F291" i="2"/>
  <c r="G275" i="2" l="1"/>
  <c r="H274" i="2"/>
  <c r="E284" i="2"/>
  <c r="I283" i="2"/>
  <c r="F292" i="2"/>
  <c r="E285" i="2" l="1"/>
  <c r="I284" i="2"/>
  <c r="G276" i="2"/>
  <c r="H275" i="2"/>
  <c r="F293" i="2"/>
  <c r="G277" i="2" l="1"/>
  <c r="H276" i="2"/>
  <c r="E286" i="2"/>
  <c r="I285" i="2"/>
  <c r="F294" i="2"/>
  <c r="E287" i="2" l="1"/>
  <c r="I286" i="2"/>
  <c r="G278" i="2"/>
  <c r="H277" i="2"/>
  <c r="F295" i="2"/>
  <c r="G279" i="2" l="1"/>
  <c r="H278" i="2"/>
  <c r="E288" i="2"/>
  <c r="I287" i="2"/>
  <c r="F296" i="2"/>
  <c r="E289" i="2" l="1"/>
  <c r="I288" i="2"/>
  <c r="G280" i="2"/>
  <c r="H279" i="2"/>
  <c r="F297" i="2"/>
  <c r="G281" i="2" l="1"/>
  <c r="H280" i="2"/>
  <c r="E290" i="2"/>
  <c r="I289" i="2"/>
  <c r="F298" i="2"/>
  <c r="E291" i="2" l="1"/>
  <c r="I290" i="2"/>
  <c r="G282" i="2"/>
  <c r="H281" i="2"/>
  <c r="F299" i="2"/>
  <c r="G283" i="2" l="1"/>
  <c r="H282" i="2"/>
  <c r="E292" i="2"/>
  <c r="I291" i="2"/>
  <c r="F300" i="2"/>
  <c r="E293" i="2" l="1"/>
  <c r="I292" i="2"/>
  <c r="G284" i="2"/>
  <c r="H283" i="2"/>
  <c r="F301" i="2"/>
  <c r="G285" i="2" l="1"/>
  <c r="H284" i="2"/>
  <c r="E294" i="2"/>
  <c r="I293" i="2"/>
  <c r="F302" i="2"/>
  <c r="E295" i="2" l="1"/>
  <c r="I294" i="2"/>
  <c r="G286" i="2"/>
  <c r="H285" i="2"/>
  <c r="F303" i="2"/>
  <c r="G287" i="2" l="1"/>
  <c r="H286" i="2"/>
  <c r="E296" i="2"/>
  <c r="I295" i="2"/>
  <c r="F304" i="2"/>
  <c r="E297" i="2" l="1"/>
  <c r="I296" i="2"/>
  <c r="G288" i="2"/>
  <c r="H287" i="2"/>
  <c r="F305" i="2"/>
  <c r="G289" i="2" l="1"/>
  <c r="H288" i="2"/>
  <c r="E298" i="2"/>
  <c r="I297" i="2"/>
  <c r="F306" i="2"/>
  <c r="E299" i="2" l="1"/>
  <c r="I298" i="2"/>
  <c r="G290" i="2"/>
  <c r="H289" i="2"/>
  <c r="F307" i="2"/>
  <c r="G291" i="2" l="1"/>
  <c r="H290" i="2"/>
  <c r="E300" i="2"/>
  <c r="I299" i="2"/>
  <c r="F308" i="2"/>
  <c r="E301" i="2" l="1"/>
  <c r="I300" i="2"/>
  <c r="G292" i="2"/>
  <c r="H291" i="2"/>
  <c r="F309" i="2"/>
  <c r="G293" i="2" l="1"/>
  <c r="H292" i="2"/>
  <c r="E302" i="2"/>
  <c r="I301" i="2"/>
  <c r="F310" i="2"/>
  <c r="E303" i="2" l="1"/>
  <c r="I302" i="2"/>
  <c r="G294" i="2"/>
  <c r="H293" i="2"/>
  <c r="F311" i="2"/>
  <c r="G295" i="2" l="1"/>
  <c r="H294" i="2"/>
  <c r="E304" i="2"/>
  <c r="I303" i="2"/>
  <c r="F312" i="2"/>
  <c r="E305" i="2" l="1"/>
  <c r="I304" i="2"/>
  <c r="G296" i="2"/>
  <c r="H295" i="2"/>
  <c r="F313" i="2"/>
  <c r="G297" i="2" l="1"/>
  <c r="H296" i="2"/>
  <c r="E306" i="2"/>
  <c r="I305" i="2"/>
  <c r="F314" i="2"/>
  <c r="E307" i="2" l="1"/>
  <c r="I306" i="2"/>
  <c r="G298" i="2"/>
  <c r="H297" i="2"/>
  <c r="F315" i="2"/>
  <c r="G299" i="2" l="1"/>
  <c r="H298" i="2"/>
  <c r="E308" i="2"/>
  <c r="I307" i="2"/>
  <c r="F316" i="2"/>
  <c r="E309" i="2" l="1"/>
  <c r="I308" i="2"/>
  <c r="G300" i="2"/>
  <c r="H299" i="2"/>
  <c r="F317" i="2"/>
  <c r="G301" i="2" l="1"/>
  <c r="H300" i="2"/>
  <c r="E310" i="2"/>
  <c r="I309" i="2"/>
  <c r="F318" i="2"/>
  <c r="E311" i="2" l="1"/>
  <c r="I310" i="2"/>
  <c r="G302" i="2"/>
  <c r="H301" i="2"/>
  <c r="F319" i="2"/>
  <c r="G303" i="2" l="1"/>
  <c r="H302" i="2"/>
  <c r="E312" i="2"/>
  <c r="I311" i="2"/>
  <c r="F320" i="2"/>
  <c r="E313" i="2" l="1"/>
  <c r="I312" i="2"/>
  <c r="G304" i="2"/>
  <c r="H303" i="2"/>
  <c r="F321" i="2"/>
  <c r="G305" i="2" l="1"/>
  <c r="H304" i="2"/>
  <c r="E314" i="2"/>
  <c r="I313" i="2"/>
  <c r="F322" i="2"/>
  <c r="E315" i="2" l="1"/>
  <c r="I314" i="2"/>
  <c r="G306" i="2"/>
  <c r="H305" i="2"/>
  <c r="F323" i="2"/>
  <c r="G307" i="2" l="1"/>
  <c r="H306" i="2"/>
  <c r="E316" i="2"/>
  <c r="I315" i="2"/>
  <c r="F324" i="2"/>
  <c r="E317" i="2" l="1"/>
  <c r="I316" i="2"/>
  <c r="G308" i="2"/>
  <c r="H307" i="2"/>
  <c r="F325" i="2"/>
  <c r="G309" i="2" l="1"/>
  <c r="H308" i="2"/>
  <c r="E318" i="2"/>
  <c r="I317" i="2"/>
  <c r="F326" i="2"/>
  <c r="E319" i="2" l="1"/>
  <c r="I318" i="2"/>
  <c r="G310" i="2"/>
  <c r="H309" i="2"/>
  <c r="F327" i="2"/>
  <c r="G311" i="2" l="1"/>
  <c r="H310" i="2"/>
  <c r="E320" i="2"/>
  <c r="I319" i="2"/>
  <c r="F328" i="2"/>
  <c r="E321" i="2" l="1"/>
  <c r="I320" i="2"/>
  <c r="G312" i="2"/>
  <c r="H311" i="2"/>
  <c r="F329" i="2"/>
  <c r="G313" i="2" l="1"/>
  <c r="H312" i="2"/>
  <c r="E322" i="2"/>
  <c r="I321" i="2"/>
  <c r="F330" i="2"/>
  <c r="E323" i="2" l="1"/>
  <c r="I322" i="2"/>
  <c r="G314" i="2"/>
  <c r="H313" i="2"/>
  <c r="F331" i="2"/>
  <c r="G315" i="2" l="1"/>
  <c r="H314" i="2"/>
  <c r="E324" i="2"/>
  <c r="I323" i="2"/>
  <c r="F332" i="2"/>
  <c r="E325" i="2" l="1"/>
  <c r="I324" i="2"/>
  <c r="G316" i="2"/>
  <c r="H315" i="2"/>
  <c r="F333" i="2"/>
  <c r="G317" i="2" l="1"/>
  <c r="H316" i="2"/>
  <c r="E326" i="2"/>
  <c r="I325" i="2"/>
  <c r="F334" i="2"/>
  <c r="E327" i="2" l="1"/>
  <c r="I326" i="2"/>
  <c r="G318" i="2"/>
  <c r="H317" i="2"/>
  <c r="F335" i="2"/>
  <c r="G319" i="2" l="1"/>
  <c r="H318" i="2"/>
  <c r="E328" i="2"/>
  <c r="I327" i="2"/>
  <c r="F336" i="2"/>
  <c r="E329" i="2" l="1"/>
  <c r="I328" i="2"/>
  <c r="G320" i="2"/>
  <c r="H319" i="2"/>
  <c r="F337" i="2"/>
  <c r="G321" i="2" l="1"/>
  <c r="H320" i="2"/>
  <c r="E330" i="2"/>
  <c r="I329" i="2"/>
  <c r="F338" i="2"/>
  <c r="E331" i="2" l="1"/>
  <c r="I330" i="2"/>
  <c r="G322" i="2"/>
  <c r="H321" i="2"/>
  <c r="F339" i="2"/>
  <c r="G323" i="2" l="1"/>
  <c r="H322" i="2"/>
  <c r="E332" i="2"/>
  <c r="I331" i="2"/>
  <c r="F340" i="2"/>
  <c r="E333" i="2" l="1"/>
  <c r="I332" i="2"/>
  <c r="G324" i="2"/>
  <c r="H323" i="2"/>
  <c r="F341" i="2"/>
  <c r="G325" i="2" l="1"/>
  <c r="H324" i="2"/>
  <c r="E334" i="2"/>
  <c r="I333" i="2"/>
  <c r="F342" i="2"/>
  <c r="E335" i="2" l="1"/>
  <c r="I334" i="2"/>
  <c r="G326" i="2"/>
  <c r="H325" i="2"/>
  <c r="F343" i="2"/>
  <c r="G327" i="2" l="1"/>
  <c r="H326" i="2"/>
  <c r="E336" i="2"/>
  <c r="I335" i="2"/>
  <c r="F344" i="2"/>
  <c r="E337" i="2" l="1"/>
  <c r="I336" i="2"/>
  <c r="G328" i="2"/>
  <c r="H327" i="2"/>
  <c r="F345" i="2"/>
  <c r="G329" i="2" l="1"/>
  <c r="H328" i="2"/>
  <c r="E338" i="2"/>
  <c r="I337" i="2"/>
  <c r="F346" i="2"/>
  <c r="E339" i="2" l="1"/>
  <c r="I338" i="2"/>
  <c r="G330" i="2"/>
  <c r="H329" i="2"/>
  <c r="F347" i="2"/>
  <c r="G331" i="2" l="1"/>
  <c r="H330" i="2"/>
  <c r="E340" i="2"/>
  <c r="I339" i="2"/>
  <c r="F348" i="2"/>
  <c r="E341" i="2" l="1"/>
  <c r="I340" i="2"/>
  <c r="G332" i="2"/>
  <c r="H331" i="2"/>
  <c r="F349" i="2"/>
  <c r="G333" i="2" l="1"/>
  <c r="H332" i="2"/>
  <c r="E342" i="2"/>
  <c r="I341" i="2"/>
  <c r="F350" i="2"/>
  <c r="E343" i="2" l="1"/>
  <c r="I342" i="2"/>
  <c r="G334" i="2"/>
  <c r="H333" i="2"/>
  <c r="F351" i="2"/>
  <c r="G335" i="2" l="1"/>
  <c r="H334" i="2"/>
  <c r="E344" i="2"/>
  <c r="I343" i="2"/>
  <c r="F352" i="2"/>
  <c r="E345" i="2" l="1"/>
  <c r="I344" i="2"/>
  <c r="G336" i="2"/>
  <c r="H335" i="2"/>
  <c r="F353" i="2"/>
  <c r="G337" i="2" l="1"/>
  <c r="H336" i="2"/>
  <c r="E346" i="2"/>
  <c r="I345" i="2"/>
  <c r="F354" i="2"/>
  <c r="E347" i="2" l="1"/>
  <c r="I346" i="2"/>
  <c r="G338" i="2"/>
  <c r="H337" i="2"/>
  <c r="F355" i="2"/>
  <c r="G339" i="2" l="1"/>
  <c r="H338" i="2"/>
  <c r="E348" i="2"/>
  <c r="I347" i="2"/>
  <c r="F356" i="2"/>
  <c r="E349" i="2" l="1"/>
  <c r="I348" i="2"/>
  <c r="G340" i="2"/>
  <c r="H339" i="2"/>
  <c r="F357" i="2"/>
  <c r="G341" i="2" l="1"/>
  <c r="H340" i="2"/>
  <c r="E350" i="2"/>
  <c r="I349" i="2"/>
  <c r="F358" i="2"/>
  <c r="E351" i="2" l="1"/>
  <c r="I350" i="2"/>
  <c r="G342" i="2"/>
  <c r="H341" i="2"/>
  <c r="F359" i="2"/>
  <c r="G343" i="2" l="1"/>
  <c r="H342" i="2"/>
  <c r="E352" i="2"/>
  <c r="I351" i="2"/>
  <c r="F360" i="2"/>
  <c r="E353" i="2" l="1"/>
  <c r="I352" i="2"/>
  <c r="G344" i="2"/>
  <c r="H343" i="2"/>
  <c r="F361" i="2"/>
  <c r="G345" i="2" l="1"/>
  <c r="H344" i="2"/>
  <c r="E354" i="2"/>
  <c r="I353" i="2"/>
  <c r="F362" i="2"/>
  <c r="E355" i="2" l="1"/>
  <c r="I354" i="2"/>
  <c r="G346" i="2"/>
  <c r="H345" i="2"/>
  <c r="F363" i="2"/>
  <c r="G347" i="2" l="1"/>
  <c r="H346" i="2"/>
  <c r="E356" i="2"/>
  <c r="I355" i="2"/>
  <c r="F364" i="2"/>
  <c r="E357" i="2" l="1"/>
  <c r="I356" i="2"/>
  <c r="G348" i="2"/>
  <c r="H347" i="2"/>
  <c r="F365" i="2"/>
  <c r="G349" i="2" l="1"/>
  <c r="H348" i="2"/>
  <c r="E358" i="2"/>
  <c r="I357" i="2"/>
  <c r="F366" i="2"/>
  <c r="E359" i="2" l="1"/>
  <c r="I358" i="2"/>
  <c r="G350" i="2"/>
  <c r="H349" i="2"/>
  <c r="F367" i="2"/>
  <c r="G351" i="2" l="1"/>
  <c r="H350" i="2"/>
  <c r="E360" i="2"/>
  <c r="I359" i="2"/>
  <c r="F368" i="2"/>
  <c r="E361" i="2" l="1"/>
  <c r="I360" i="2"/>
  <c r="G352" i="2"/>
  <c r="H351" i="2"/>
  <c r="F369" i="2"/>
  <c r="G353" i="2" l="1"/>
  <c r="H352" i="2"/>
  <c r="E362" i="2"/>
  <c r="I361" i="2"/>
  <c r="F370" i="2"/>
  <c r="E363" i="2" l="1"/>
  <c r="I362" i="2"/>
  <c r="G354" i="2"/>
  <c r="H353" i="2"/>
  <c r="F371" i="2"/>
  <c r="G355" i="2" l="1"/>
  <c r="H354" i="2"/>
  <c r="E364" i="2"/>
  <c r="I363" i="2"/>
  <c r="F372" i="2"/>
  <c r="E365" i="2" l="1"/>
  <c r="I364" i="2"/>
  <c r="G356" i="2"/>
  <c r="H355" i="2"/>
  <c r="F373" i="2"/>
  <c r="G357" i="2" l="1"/>
  <c r="H356" i="2"/>
  <c r="E366" i="2"/>
  <c r="I365" i="2"/>
  <c r="F374" i="2"/>
  <c r="E367" i="2" l="1"/>
  <c r="I366" i="2"/>
  <c r="G358" i="2"/>
  <c r="H357" i="2"/>
  <c r="F375" i="2"/>
  <c r="G359" i="2" l="1"/>
  <c r="H358" i="2"/>
  <c r="E368" i="2"/>
  <c r="I367" i="2"/>
  <c r="F376" i="2"/>
  <c r="E369" i="2" l="1"/>
  <c r="I368" i="2"/>
  <c r="G360" i="2"/>
  <c r="H359" i="2"/>
  <c r="F377" i="2"/>
  <c r="G361" i="2" l="1"/>
  <c r="H360" i="2"/>
  <c r="E370" i="2"/>
  <c r="I369" i="2"/>
  <c r="F378" i="2"/>
  <c r="E371" i="2" l="1"/>
  <c r="I370" i="2"/>
  <c r="G362" i="2"/>
  <c r="H361" i="2"/>
  <c r="F379" i="2"/>
  <c r="G363" i="2" l="1"/>
  <c r="H362" i="2"/>
  <c r="E372" i="2"/>
  <c r="I371" i="2"/>
  <c r="F380" i="2"/>
  <c r="E373" i="2" l="1"/>
  <c r="I372" i="2"/>
  <c r="G364" i="2"/>
  <c r="H363" i="2"/>
  <c r="F381" i="2"/>
  <c r="G365" i="2" l="1"/>
  <c r="H364" i="2"/>
  <c r="E374" i="2"/>
  <c r="I373" i="2"/>
  <c r="F382" i="2"/>
  <c r="E375" i="2" l="1"/>
  <c r="I374" i="2"/>
  <c r="G366" i="2"/>
  <c r="H365" i="2"/>
  <c r="F383" i="2"/>
  <c r="G367" i="2" l="1"/>
  <c r="H366" i="2"/>
  <c r="E376" i="2"/>
  <c r="I375" i="2"/>
  <c r="E377" i="2" l="1"/>
  <c r="I376" i="2"/>
  <c r="G368" i="2"/>
  <c r="H367" i="2"/>
  <c r="G369" i="2" l="1"/>
  <c r="H368" i="2"/>
  <c r="E378" i="2"/>
  <c r="I377" i="2"/>
  <c r="E379" i="2" l="1"/>
  <c r="I378" i="2"/>
  <c r="G370" i="2"/>
  <c r="H369" i="2"/>
  <c r="G371" i="2" l="1"/>
  <c r="H370" i="2"/>
  <c r="E380" i="2"/>
  <c r="I379" i="2"/>
  <c r="E381" i="2" l="1"/>
  <c r="I380" i="2"/>
  <c r="G372" i="2"/>
  <c r="H371" i="2"/>
  <c r="G373" i="2" l="1"/>
  <c r="H372" i="2"/>
  <c r="E382" i="2"/>
  <c r="I381" i="2"/>
  <c r="E383" i="2" l="1"/>
  <c r="I382" i="2"/>
  <c r="G374" i="2"/>
  <c r="H373" i="2"/>
  <c r="G375" i="2" l="1"/>
  <c r="H374" i="2"/>
  <c r="I383" i="2"/>
  <c r="L3" i="1" s="1"/>
  <c r="M3" i="1" s="1"/>
  <c r="O3" i="1" s="1"/>
  <c r="G376" i="2" l="1"/>
  <c r="H375" i="2"/>
  <c r="G377" i="2" l="1"/>
  <c r="H376" i="2"/>
  <c r="G378" i="2" l="1"/>
  <c r="H377" i="2"/>
  <c r="G379" i="2" l="1"/>
  <c r="H378" i="2"/>
  <c r="G380" i="2" l="1"/>
  <c r="H379" i="2"/>
  <c r="G381" i="2" l="1"/>
  <c r="H380" i="2"/>
  <c r="G382" i="2" l="1"/>
  <c r="H381" i="2"/>
  <c r="G383" i="2" l="1"/>
  <c r="H383" i="2" s="1"/>
  <c r="H382" i="2"/>
</calcChain>
</file>

<file path=xl/sharedStrings.xml><?xml version="1.0" encoding="utf-8"?>
<sst xmlns="http://schemas.openxmlformats.org/spreadsheetml/2006/main" count="39" uniqueCount="38">
  <si>
    <t xml:space="preserve">Fecha de Vencimiento </t>
  </si>
  <si>
    <t xml:space="preserve">Valor nominal </t>
  </si>
  <si>
    <t xml:space="preserve">Porcentaje de cupón </t>
  </si>
  <si>
    <t xml:space="preserve">Fecha de negociación </t>
  </si>
  <si>
    <t>TIR</t>
  </si>
  <si>
    <t xml:space="preserve">Cupones que hay hasta la fecha de vencimiento </t>
  </si>
  <si>
    <t xml:space="preserve">Fechas cupones </t>
  </si>
  <si>
    <t xml:space="preserve">Valor de los cupones </t>
  </si>
  <si>
    <t xml:space="preserve">Valor de giro </t>
  </si>
  <si>
    <t>Fecha de Vencimiento</t>
  </si>
  <si>
    <t xml:space="preserve">Numero de días </t>
  </si>
  <si>
    <t>TES</t>
  </si>
  <si>
    <t xml:space="preserve">Valores </t>
  </si>
  <si>
    <t>Valores para el valor de giro</t>
  </si>
  <si>
    <t xml:space="preserve">Precio sucio </t>
  </si>
  <si>
    <t xml:space="preserve">Cupon corrido </t>
  </si>
  <si>
    <t>Precio Limpio</t>
  </si>
  <si>
    <t>Modelo de TES Tasa Fija</t>
  </si>
  <si>
    <t>Instrucciones (Por Alejandra Páez )</t>
  </si>
  <si>
    <t>Tes Tasa fija</t>
  </si>
  <si>
    <t>TFIT10040522</t>
  </si>
  <si>
    <t>TFIT16240724</t>
  </si>
  <si>
    <t>TFIT8261125</t>
  </si>
  <si>
    <t>TFIT15260826</t>
  </si>
  <si>
    <t>TFIT16280428</t>
  </si>
  <si>
    <t>TFIT16180930</t>
  </si>
  <si>
    <t>TFIT16300632</t>
  </si>
  <si>
    <t>TFIT16181034</t>
  </si>
  <si>
    <t>TFIT16090736</t>
  </si>
  <si>
    <t>TFIT31261050</t>
  </si>
  <si>
    <t>Fechas de vencimiento</t>
  </si>
  <si>
    <t>Valor de cupon</t>
  </si>
  <si>
    <t>TFIT8031127</t>
  </si>
  <si>
    <t xml:space="preserve">1) Seleccionar que TES se desea evaluar </t>
  </si>
  <si>
    <t xml:space="preserve">2) La fecha de vencimiento aparece de forma automatica </t>
  </si>
  <si>
    <t>4) Escribir el valor nominal</t>
  </si>
  <si>
    <t>5) Escribir la TIR a la cual se negociará el TES</t>
  </si>
  <si>
    <t>3) Escribir la fecha de negociación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</si>
</sst>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E94F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ED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FFB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44" fontId="0" fillId="0" borderId="0" xfId="1" applyFont="1"/>
    <xf numFmtId="44" fontId="0" fillId="3" borderId="0" xfId="1" applyFont="1" applyFill="1" applyAlignment="1">
      <alignment horizontal="center" vertical="center"/>
    </xf>
    <xf numFmtId="14" fontId="2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165" fontId="0" fillId="3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2" fillId="17" borderId="8" xfId="0" applyFont="1" applyFill="1" applyBorder="1"/>
    <xf numFmtId="0" fontId="2" fillId="18" borderId="13" xfId="0" applyFont="1" applyFill="1" applyBorder="1"/>
    <xf numFmtId="0" fontId="0" fillId="4" borderId="9" xfId="0" applyFill="1" applyBorder="1" applyAlignment="1">
      <alignment horizontal="center" vertical="center"/>
    </xf>
    <xf numFmtId="14" fontId="0" fillId="19" borderId="1" xfId="0" applyNumberFormat="1" applyFill="1" applyBorder="1" applyAlignment="1">
      <alignment horizontal="center" vertical="center"/>
    </xf>
    <xf numFmtId="9" fontId="0" fillId="20" borderId="10" xfId="0" applyNumberFormat="1" applyFill="1" applyBorder="1" applyAlignment="1">
      <alignment horizontal="center" vertical="center"/>
    </xf>
    <xf numFmtId="10" fontId="0" fillId="20" borderId="10" xfId="0" applyNumberForma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4" fontId="0" fillId="19" borderId="14" xfId="0" applyNumberFormat="1" applyFill="1" applyBorder="1" applyAlignment="1">
      <alignment horizontal="center" vertical="center"/>
    </xf>
    <xf numFmtId="10" fontId="0" fillId="20" borderId="12" xfId="0" applyNumberFormat="1" applyFill="1" applyBorder="1" applyAlignment="1">
      <alignment horizontal="center" vertical="center"/>
    </xf>
    <xf numFmtId="0" fontId="2" fillId="14" borderId="15" xfId="0" applyFont="1" applyFill="1" applyBorder="1"/>
    <xf numFmtId="9" fontId="0" fillId="20" borderId="16" xfId="0" applyNumberForma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14" fontId="0" fillId="5" borderId="1" xfId="0" applyNumberFormat="1" applyFill="1" applyBorder="1"/>
    <xf numFmtId="0" fontId="2" fillId="9" borderId="16" xfId="0" applyFont="1" applyFill="1" applyBorder="1" applyAlignment="1">
      <alignment horizontal="center" vertical="center" wrapText="1"/>
    </xf>
    <xf numFmtId="0" fontId="0" fillId="9" borderId="16" xfId="0" applyNumberFormat="1" applyFill="1" applyBorder="1" applyAlignment="1">
      <alignment horizontal="center"/>
    </xf>
    <xf numFmtId="164" fontId="0" fillId="11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44" fontId="0" fillId="13" borderId="1" xfId="1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2" fillId="17" borderId="20" xfId="0" applyFont="1" applyFill="1" applyBorder="1"/>
    <xf numFmtId="0" fontId="2" fillId="18" borderId="19" xfId="0" applyFont="1" applyFill="1" applyBorder="1"/>
    <xf numFmtId="0" fontId="2" fillId="14" borderId="21" xfId="0" applyFont="1" applyFill="1" applyBorder="1"/>
    <xf numFmtId="0" fontId="0" fillId="0" borderId="0" xfId="0" applyFill="1" applyBorder="1" applyAlignment="1">
      <alignment horizontal="left" vertical="center"/>
    </xf>
    <xf numFmtId="0" fontId="0" fillId="3" borderId="0" xfId="0" applyFill="1" applyAlignment="1"/>
    <xf numFmtId="0" fontId="0" fillId="0" borderId="0" xfId="0" applyAlignment="1"/>
    <xf numFmtId="0" fontId="0" fillId="15" borderId="4" xfId="0" applyFill="1" applyBorder="1" applyAlignment="1">
      <alignment horizontal="left" vertical="center" wrapText="1"/>
    </xf>
    <xf numFmtId="0" fontId="0" fillId="15" borderId="5" xfId="0" applyFill="1" applyBorder="1" applyAlignment="1">
      <alignment horizontal="left" vertical="center" wrapText="1"/>
    </xf>
    <xf numFmtId="0" fontId="0" fillId="15" borderId="6" xfId="0" applyFill="1" applyBorder="1" applyAlignment="1">
      <alignment horizontal="left" vertical="center" wrapText="1"/>
    </xf>
    <xf numFmtId="0" fontId="0" fillId="15" borderId="7" xfId="0" applyFill="1" applyBorder="1" applyAlignment="1">
      <alignment horizontal="left" vertical="center" wrapText="1"/>
    </xf>
    <xf numFmtId="0" fontId="2" fillId="16" borderId="0" xfId="0" applyFont="1" applyFill="1" applyAlignment="1">
      <alignment horizontal="center"/>
    </xf>
    <xf numFmtId="0" fontId="2" fillId="14" borderId="2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2" fillId="10" borderId="18" xfId="0" applyFont="1" applyFill="1" applyBorder="1" applyAlignment="1">
      <alignment horizontal="center" vertical="center" wrapText="1"/>
    </xf>
    <xf numFmtId="0" fontId="2" fillId="10" borderId="19" xfId="0" applyFont="1" applyFill="1" applyBorder="1" applyAlignment="1">
      <alignment horizontal="center" vertical="center" wrapText="1"/>
    </xf>
    <xf numFmtId="44" fontId="2" fillId="12" borderId="18" xfId="1" applyFont="1" applyFill="1" applyBorder="1" applyAlignment="1">
      <alignment horizontal="center" vertical="center" wrapText="1"/>
    </xf>
    <xf numFmtId="44" fontId="2" fillId="12" borderId="19" xfId="1" applyFont="1" applyFill="1" applyBorder="1" applyAlignment="1">
      <alignment horizontal="center" vertical="center" wrapText="1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FFFFCC"/>
      <color rgb="FFFFFF00"/>
      <color rgb="FF99FF99"/>
      <color rgb="FF00CC66"/>
      <color rgb="FF33CCCC"/>
      <color rgb="FF009999"/>
      <color rgb="FFFBFFB3"/>
      <color rgb="FFFF7171"/>
      <color rgb="FFFE94F9"/>
      <color rgb="FFFFED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3</xdr:row>
          <xdr:rowOff>160020</xdr:rowOff>
        </xdr:from>
        <xdr:to>
          <xdr:col>11</xdr:col>
          <xdr:colOff>1135380</xdr:colOff>
          <xdr:row>6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A9F65-F8EA-4EA3-92A9-39214B59B323}">
  <dimension ref="A1:O13"/>
  <sheetViews>
    <sheetView tabSelected="1" workbookViewId="0">
      <selection activeCell="D3" sqref="D3"/>
    </sheetView>
  </sheetViews>
  <sheetFormatPr baseColWidth="10" defaultRowHeight="14.4" x14ac:dyDescent="0.3"/>
  <cols>
    <col min="2" max="2" width="19.109375" customWidth="1"/>
    <col min="3" max="3" width="5.109375" customWidth="1"/>
    <col min="5" max="5" width="16.6640625" bestFit="1" customWidth="1"/>
    <col min="6" max="6" width="11.77734375" customWidth="1"/>
    <col min="7" max="7" width="16.6640625" bestFit="1" customWidth="1"/>
    <col min="8" max="9" width="15" bestFit="1" customWidth="1"/>
    <col min="10" max="10" width="18" bestFit="1" customWidth="1"/>
    <col min="11" max="11" width="15" bestFit="1" customWidth="1"/>
    <col min="12" max="12" width="18" bestFit="1" customWidth="1"/>
  </cols>
  <sheetData>
    <row r="1" spans="1:15" ht="15" thickBot="1" x14ac:dyDescent="0.35">
      <c r="D1" s="48" t="s">
        <v>17</v>
      </c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</row>
    <row r="2" spans="1:15" ht="43.2" x14ac:dyDescent="0.3">
      <c r="A2" s="49" t="s">
        <v>18</v>
      </c>
      <c r="B2" s="50"/>
      <c r="C2" s="16"/>
      <c r="D2" s="1" t="s">
        <v>11</v>
      </c>
      <c r="E2" s="1" t="s">
        <v>0</v>
      </c>
      <c r="F2" s="1" t="s">
        <v>3</v>
      </c>
      <c r="G2" s="1" t="s">
        <v>1</v>
      </c>
      <c r="H2" s="1" t="s">
        <v>2</v>
      </c>
      <c r="I2" s="1" t="s">
        <v>4</v>
      </c>
      <c r="J2" s="1" t="s">
        <v>5</v>
      </c>
      <c r="K2" s="1" t="s">
        <v>7</v>
      </c>
      <c r="L2" s="1" t="s">
        <v>8</v>
      </c>
      <c r="M2" s="1" t="s">
        <v>14</v>
      </c>
      <c r="N2" s="1" t="s">
        <v>15</v>
      </c>
      <c r="O2" s="1" t="s">
        <v>16</v>
      </c>
    </row>
    <row r="3" spans="1:15" s="43" customFormat="1" ht="34.799999999999997" customHeight="1" x14ac:dyDescent="0.3">
      <c r="A3" s="44" t="s">
        <v>33</v>
      </c>
      <c r="B3" s="45"/>
      <c r="C3" s="41"/>
      <c r="D3" s="6" t="s">
        <v>29</v>
      </c>
      <c r="E3" s="7">
        <f>VLOOKUP(D3,'Base de datos '!A3:B13,2,FALSE)</f>
        <v>55087</v>
      </c>
      <c r="F3" s="7">
        <v>44642</v>
      </c>
      <c r="G3" s="8">
        <v>200000000</v>
      </c>
      <c r="H3" s="15">
        <f>VLOOKUP(D3,'Base de datos '!A1:C13,3,FALSE)</f>
        <v>7.2499999999999995E-2</v>
      </c>
      <c r="I3" s="9">
        <v>0.05</v>
      </c>
      <c r="J3" s="6">
        <f>COUPNUM(F3,E3,1,3)</f>
        <v>29</v>
      </c>
      <c r="K3" s="8">
        <f>G3*H3</f>
        <v>14499999.999999998</v>
      </c>
      <c r="L3" s="11">
        <f>SUM('Base de datos '!I3:I383)</f>
        <v>273455715.89827019</v>
      </c>
      <c r="M3" s="42">
        <f>(L3/G3)*100</f>
        <v>136.72785794913509</v>
      </c>
      <c r="N3" s="42">
        <f>((H3/365)*'Base de datos '!G2)*100</f>
        <v>2.9198630136986301</v>
      </c>
      <c r="O3" s="42">
        <f>M3-N3</f>
        <v>133.80799493543645</v>
      </c>
    </row>
    <row r="4" spans="1:15" ht="32.4" customHeight="1" x14ac:dyDescent="0.3">
      <c r="A4" s="44" t="s">
        <v>34</v>
      </c>
      <c r="B4" s="45"/>
      <c r="C4" s="17"/>
    </row>
    <row r="5" spans="1:15" ht="15.6" customHeight="1" x14ac:dyDescent="0.3">
      <c r="A5" s="44" t="s">
        <v>37</v>
      </c>
      <c r="B5" s="45"/>
      <c r="C5" s="17"/>
    </row>
    <row r="6" spans="1:15" x14ac:dyDescent="0.3">
      <c r="A6" s="44" t="s">
        <v>35</v>
      </c>
      <c r="B6" s="45"/>
      <c r="C6" s="17"/>
    </row>
    <row r="7" spans="1:15" ht="33.6" customHeight="1" thickBot="1" x14ac:dyDescent="0.35">
      <c r="A7" s="46" t="s">
        <v>36</v>
      </c>
      <c r="B7" s="47"/>
      <c r="C7" s="17"/>
    </row>
    <row r="9" spans="1:15" ht="30.6" customHeight="1" x14ac:dyDescent="0.3">
      <c r="G9" s="2"/>
      <c r="J9" s="10"/>
    </row>
    <row r="10" spans="1:15" ht="28.8" customHeight="1" x14ac:dyDescent="0.3"/>
    <row r="11" spans="1:15" ht="25.8" customHeight="1" x14ac:dyDescent="0.3">
      <c r="E11" s="3"/>
    </row>
    <row r="12" spans="1:15" ht="26.4" customHeight="1" x14ac:dyDescent="0.3"/>
    <row r="13" spans="1:15" ht="28.2" customHeight="1" x14ac:dyDescent="0.3"/>
  </sheetData>
  <mergeCells count="7">
    <mergeCell ref="A6:B6"/>
    <mergeCell ref="A7:B7"/>
    <mergeCell ref="D1:O1"/>
    <mergeCell ref="A2:B2"/>
    <mergeCell ref="A3:B3"/>
    <mergeCell ref="A4:B4"/>
    <mergeCell ref="A5:B5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borrarr">
                <anchor moveWithCells="1" sizeWithCells="1">
                  <from>
                    <xdr:col>6</xdr:col>
                    <xdr:colOff>106680</xdr:colOff>
                    <xdr:row>3</xdr:row>
                    <xdr:rowOff>160020</xdr:rowOff>
                  </from>
                  <to>
                    <xdr:col>11</xdr:col>
                    <xdr:colOff>1135380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5D77783-8836-478A-88F3-A5176985E2E6}">
          <x14:formula1>
            <xm:f>'Base de datos '!$A$3:$A$13</xm:f>
          </x14:formula1>
          <xm:sqref>E3</xm:sqref>
        </x14:dataValidation>
        <x14:dataValidation type="list" allowBlank="1" showInputMessage="1" showErrorMessage="1" xr:uid="{F0FCD779-8AD3-40EC-BD6F-CAD591BA7BC3}">
          <x14:formula1>
            <xm:f>'Base de datos '!$A$2:$A$13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4B2C-503E-40E0-9B1E-70DCFA73F4C0}">
  <dimension ref="A1:J383"/>
  <sheetViews>
    <sheetView workbookViewId="0">
      <selection activeCell="A2" sqref="A2:C2"/>
    </sheetView>
  </sheetViews>
  <sheetFormatPr baseColWidth="10" defaultRowHeight="14.4" x14ac:dyDescent="0.3"/>
  <cols>
    <col min="1" max="1" width="12.44140625" bestFit="1" customWidth="1"/>
    <col min="2" max="2" width="20.21875" bestFit="1" customWidth="1"/>
    <col min="3" max="3" width="20.21875" customWidth="1"/>
    <col min="4" max="4" width="19.6640625" bestFit="1" customWidth="1"/>
    <col min="5" max="7" width="11.5546875" style="4"/>
    <col min="8" max="8" width="16.6640625" style="35" bestFit="1" customWidth="1"/>
    <col min="9" max="9" width="18" style="37" bestFit="1" customWidth="1"/>
    <col min="10" max="10" width="14" bestFit="1" customWidth="1"/>
  </cols>
  <sheetData>
    <row r="1" spans="1:9" ht="28.8" x14ac:dyDescent="0.3">
      <c r="A1" s="18" t="s">
        <v>19</v>
      </c>
      <c r="B1" s="19" t="s">
        <v>30</v>
      </c>
      <c r="C1" s="27" t="s">
        <v>31</v>
      </c>
      <c r="D1" s="30" t="s">
        <v>9</v>
      </c>
      <c r="E1" s="51" t="s">
        <v>6</v>
      </c>
      <c r="F1" s="51"/>
      <c r="G1" s="5" t="s">
        <v>10</v>
      </c>
      <c r="H1" s="52" t="s">
        <v>12</v>
      </c>
      <c r="I1" s="54" t="s">
        <v>13</v>
      </c>
    </row>
    <row r="2" spans="1:9" x14ac:dyDescent="0.3">
      <c r="A2" s="38"/>
      <c r="B2" s="39"/>
      <c r="C2" s="40"/>
      <c r="D2" s="31">
        <f>'Modelos de TES'!E3</f>
        <v>55087</v>
      </c>
      <c r="E2" s="29">
        <v>0</v>
      </c>
      <c r="F2" s="12">
        <f>COUPPCD('Modelos de TES'!F3,'Modelos de TES'!E3,1,3)</f>
        <v>44495</v>
      </c>
      <c r="G2" s="32">
        <f>COUPDAYBS('Modelos de TES'!F3,'Modelos de TES'!E3,1,3)</f>
        <v>147</v>
      </c>
      <c r="H2" s="53"/>
      <c r="I2" s="55"/>
    </row>
    <row r="3" spans="1:9" x14ac:dyDescent="0.3">
      <c r="A3" s="20" t="s">
        <v>20</v>
      </c>
      <c r="B3" s="21">
        <v>44685</v>
      </c>
      <c r="C3" s="28">
        <v>7.0000000000000007E-2</v>
      </c>
      <c r="E3" s="13">
        <v>1</v>
      </c>
      <c r="F3" s="14">
        <f>COUPNCD('Modelos de TES'!F3,D2,1,3)</f>
        <v>44860</v>
      </c>
      <c r="G3" s="33">
        <f>COUPDAYSNC('Modelos de TES'!F3,'Modelos de TES'!E3,1,3)</f>
        <v>218</v>
      </c>
      <c r="H3" s="34">
        <f>(IF('Modelos de TES'!$J$3='Base de datos '!E3,'Modelos de TES'!$K$3+'Modelos de TES'!$G$3,'Modelos de TES'!$K$3))/((1+'Modelos de TES'!$I$3)^('Base de datos '!G3/365))</f>
        <v>14083560.886242038</v>
      </c>
      <c r="I3" s="36">
        <f>IF('Modelos de TES'!$J$3&gt;='Base de datos '!E3,'Base de datos '!H3,0)</f>
        <v>14083560.886242038</v>
      </c>
    </row>
    <row r="4" spans="1:9" x14ac:dyDescent="0.3">
      <c r="A4" s="20" t="s">
        <v>21</v>
      </c>
      <c r="B4" s="21">
        <v>45497</v>
      </c>
      <c r="C4" s="22">
        <v>0.1</v>
      </c>
      <c r="E4" s="13">
        <v>2</v>
      </c>
      <c r="F4" s="14">
        <f t="shared" ref="F4:F12" si="0">COUPNCD(F3,$D$2,1,3)</f>
        <v>45225</v>
      </c>
      <c r="G4" s="33">
        <f>G3+365</f>
        <v>583</v>
      </c>
      <c r="H4" s="34">
        <f>(IF('Modelos de TES'!$J$3='Base de datos '!E4,'Modelos de TES'!$K$3+'Modelos de TES'!$G$3,'Modelos de TES'!$K$3))/((1+'Modelos de TES'!$I$3)^('Base de datos '!G4/365))</f>
        <v>13412915.12975432</v>
      </c>
      <c r="I4" s="36">
        <f>IF('Modelos de TES'!$J$3&gt;='Base de datos '!E4,'Base de datos '!H4,0)</f>
        <v>13412915.12975432</v>
      </c>
    </row>
    <row r="5" spans="1:9" x14ac:dyDescent="0.3">
      <c r="A5" s="20" t="s">
        <v>22</v>
      </c>
      <c r="B5" s="21">
        <v>45987</v>
      </c>
      <c r="C5" s="23">
        <v>6.25E-2</v>
      </c>
      <c r="E5" s="13">
        <v>3</v>
      </c>
      <c r="F5" s="14">
        <f t="shared" si="0"/>
        <v>45591</v>
      </c>
      <c r="G5" s="33">
        <f t="shared" ref="G5:G68" si="1">G4+365</f>
        <v>948</v>
      </c>
      <c r="H5" s="34">
        <f>(IF('Modelos de TES'!$J$3='Base de datos '!E5,'Modelos de TES'!$K$3+'Modelos de TES'!$G$3,'Modelos de TES'!$K$3))/((1+'Modelos de TES'!$I$3)^('Base de datos '!G5/365))</f>
        <v>12774204.885480303</v>
      </c>
      <c r="I5" s="36">
        <f>IF('Modelos de TES'!$J$3&gt;='Base de datos '!E5,'Base de datos '!H5,0)</f>
        <v>12774204.885480303</v>
      </c>
    </row>
    <row r="6" spans="1:9" x14ac:dyDescent="0.3">
      <c r="A6" s="20" t="s">
        <v>23</v>
      </c>
      <c r="B6" s="21">
        <v>46260</v>
      </c>
      <c r="C6" s="23">
        <v>7.4999999999999997E-2</v>
      </c>
      <c r="E6" s="13">
        <v>4</v>
      </c>
      <c r="F6" s="14">
        <f t="shared" si="0"/>
        <v>45956</v>
      </c>
      <c r="G6" s="33">
        <f t="shared" si="1"/>
        <v>1313</v>
      </c>
      <c r="H6" s="34">
        <f>(IF('Modelos de TES'!$J$3='Base de datos '!E6,'Modelos de TES'!$K$3+'Modelos de TES'!$G$3,'Modelos de TES'!$K$3))/((1+'Modelos de TES'!$I$3)^('Base de datos '!G6/365))</f>
        <v>12165909.414743146</v>
      </c>
      <c r="I6" s="36">
        <f>IF('Modelos de TES'!$J$3&gt;='Base de datos '!E6,'Base de datos '!H6,0)</f>
        <v>12165909.414743146</v>
      </c>
    </row>
    <row r="7" spans="1:9" x14ac:dyDescent="0.3">
      <c r="A7" s="20" t="s">
        <v>32</v>
      </c>
      <c r="B7" s="21">
        <v>46694</v>
      </c>
      <c r="C7" s="23">
        <v>5.7500000000000002E-2</v>
      </c>
      <c r="E7" s="13">
        <v>5</v>
      </c>
      <c r="F7" s="14">
        <f t="shared" si="0"/>
        <v>46321</v>
      </c>
      <c r="G7" s="33">
        <f t="shared" si="1"/>
        <v>1678</v>
      </c>
      <c r="H7" s="34">
        <f>(IF('Modelos de TES'!$J$3='Base de datos '!E7,'Modelos de TES'!$K$3+'Modelos de TES'!$G$3,'Modelos de TES'!$K$3))/((1+'Modelos de TES'!$I$3)^('Base de datos '!G7/365))</f>
        <v>11586580.394993473</v>
      </c>
      <c r="I7" s="36">
        <f>IF('Modelos de TES'!$J$3&gt;='Base de datos '!E7,'Base de datos '!H7,0)</f>
        <v>11586580.394993473</v>
      </c>
    </row>
    <row r="8" spans="1:9" x14ac:dyDescent="0.3">
      <c r="A8" s="20" t="s">
        <v>24</v>
      </c>
      <c r="B8" s="21">
        <v>46871</v>
      </c>
      <c r="C8" s="23">
        <v>0.06</v>
      </c>
      <c r="E8" s="13">
        <v>6</v>
      </c>
      <c r="F8" s="14">
        <f t="shared" si="0"/>
        <v>46686</v>
      </c>
      <c r="G8" s="33">
        <f t="shared" si="1"/>
        <v>2043</v>
      </c>
      <c r="H8" s="34">
        <f>(IF('Modelos de TES'!$J$3='Base de datos '!E8,'Modelos de TES'!$K$3+'Modelos de TES'!$G$3,'Modelos de TES'!$K$3))/((1+'Modelos de TES'!$I$3)^('Base de datos '!G8/365))</f>
        <v>11034838.471422354</v>
      </c>
      <c r="I8" s="36">
        <f>IF('Modelos de TES'!$J$3&gt;='Base de datos '!E8,'Base de datos '!H8,0)</f>
        <v>11034838.471422354</v>
      </c>
    </row>
    <row r="9" spans="1:9" x14ac:dyDescent="0.3">
      <c r="A9" s="20" t="s">
        <v>25</v>
      </c>
      <c r="B9" s="21">
        <v>47744</v>
      </c>
      <c r="C9" s="22">
        <v>7.7499999999999999E-2</v>
      </c>
      <c r="D9" s="2"/>
      <c r="E9" s="13">
        <v>7</v>
      </c>
      <c r="F9" s="14">
        <f t="shared" si="0"/>
        <v>47052</v>
      </c>
      <c r="G9" s="33">
        <f t="shared" si="1"/>
        <v>2408</v>
      </c>
      <c r="H9" s="34">
        <f>(IF('Modelos de TES'!$J$3='Base de datos '!E9,'Modelos de TES'!$K$3+'Modelos de TES'!$G$3,'Modelos de TES'!$K$3))/((1+'Modelos de TES'!$I$3)^('Base de datos '!G9/365))</f>
        <v>10509369.972783193</v>
      </c>
      <c r="I9" s="36">
        <f>IF('Modelos de TES'!$J$3&gt;='Base de datos '!E9,'Base de datos '!H9,0)</f>
        <v>10509369.972783193</v>
      </c>
    </row>
    <row r="10" spans="1:9" x14ac:dyDescent="0.3">
      <c r="A10" s="20" t="s">
        <v>26</v>
      </c>
      <c r="B10" s="21">
        <v>48395</v>
      </c>
      <c r="C10" s="23">
        <v>7.0000000000000007E-2</v>
      </c>
      <c r="D10" s="2"/>
      <c r="E10" s="13">
        <v>8</v>
      </c>
      <c r="F10" s="14">
        <f t="shared" si="0"/>
        <v>47417</v>
      </c>
      <c r="G10" s="33">
        <f t="shared" si="1"/>
        <v>2773</v>
      </c>
      <c r="H10" s="34">
        <f>(IF('Modelos de TES'!$J$3='Base de datos '!E10,'Modelos de TES'!$K$3+'Modelos de TES'!$G$3,'Modelos de TES'!$K$3))/((1+'Modelos de TES'!$I$3)^('Base de datos '!G10/365))</f>
        <v>10008923.783603042</v>
      </c>
      <c r="I10" s="36">
        <f>IF('Modelos de TES'!$J$3&gt;='Base de datos '!E10,'Base de datos '!H10,0)</f>
        <v>10008923.783603042</v>
      </c>
    </row>
    <row r="11" spans="1:9" x14ac:dyDescent="0.3">
      <c r="A11" s="20" t="s">
        <v>27</v>
      </c>
      <c r="B11" s="21">
        <v>49235</v>
      </c>
      <c r="C11" s="22">
        <v>7.2499999999999995E-2</v>
      </c>
      <c r="D11" s="2"/>
      <c r="E11" s="13">
        <v>9</v>
      </c>
      <c r="F11" s="14">
        <f t="shared" si="0"/>
        <v>47782</v>
      </c>
      <c r="G11" s="33">
        <f t="shared" si="1"/>
        <v>3138</v>
      </c>
      <c r="H11" s="34">
        <f>(IF('Modelos de TES'!$J$3='Base de datos '!E11,'Modelos de TES'!$K$3+'Modelos de TES'!$G$3,'Modelos de TES'!$K$3))/((1+'Modelos de TES'!$I$3)^('Base de datos '!G11/365))</f>
        <v>9532308.3653362282</v>
      </c>
      <c r="I11" s="36">
        <f>IF('Modelos de TES'!$J$3&gt;='Base de datos '!E11,'Base de datos '!H11,0)</f>
        <v>9532308.3653362282</v>
      </c>
    </row>
    <row r="12" spans="1:9" x14ac:dyDescent="0.3">
      <c r="A12" s="20" t="s">
        <v>28</v>
      </c>
      <c r="B12" s="21">
        <v>49865</v>
      </c>
      <c r="C12" s="23">
        <v>6.25E-2</v>
      </c>
      <c r="D12" s="2"/>
      <c r="E12" s="13">
        <v>10</v>
      </c>
      <c r="F12" s="14">
        <f t="shared" si="0"/>
        <v>48147</v>
      </c>
      <c r="G12" s="33">
        <f t="shared" si="1"/>
        <v>3503</v>
      </c>
      <c r="H12" s="34">
        <f>(IF('Modelos de TES'!$J$3='Base de datos '!E12,'Modelos de TES'!$K$3+'Modelos de TES'!$G$3,'Modelos de TES'!$K$3))/((1+'Modelos de TES'!$I$3)^('Base de datos '!G12/365))</f>
        <v>9078388.9193678368</v>
      </c>
      <c r="I12" s="36">
        <f>IF('Modelos de TES'!$J$3&gt;='Base de datos '!E12,'Base de datos '!H12,0)</f>
        <v>9078388.9193678368</v>
      </c>
    </row>
    <row r="13" spans="1:9" ht="15" thickBot="1" x14ac:dyDescent="0.35">
      <c r="A13" s="24" t="s">
        <v>29</v>
      </c>
      <c r="B13" s="25">
        <v>55087</v>
      </c>
      <c r="C13" s="26">
        <v>7.2499999999999995E-2</v>
      </c>
      <c r="D13" s="2"/>
      <c r="E13" s="13">
        <f>E12+1</f>
        <v>11</v>
      </c>
      <c r="F13" s="14">
        <f t="shared" ref="F13:F76" si="2">COUPNCD(F12,$D$2,1,3)</f>
        <v>48513</v>
      </c>
      <c r="G13" s="33">
        <f t="shared" si="1"/>
        <v>3868</v>
      </c>
      <c r="H13" s="34">
        <f>(IF('Modelos de TES'!$J$3='Base de datos '!E13,'Modelos de TES'!$K$3+'Modelos de TES'!$G$3,'Modelos de TES'!$K$3))/((1+'Modelos de TES'!$I$3)^('Base de datos '!G13/365))</f>
        <v>8646084.6851122249</v>
      </c>
      <c r="I13" s="36">
        <f>IF('Modelos de TES'!$J$3&gt;='Base de datos '!E13,'Base de datos '!H13,0)</f>
        <v>8646084.6851122249</v>
      </c>
    </row>
    <row r="14" spans="1:9" x14ac:dyDescent="0.3">
      <c r="D14" s="2"/>
      <c r="E14" s="13">
        <f t="shared" ref="E14:E77" si="3">E13+1</f>
        <v>12</v>
      </c>
      <c r="F14" s="14">
        <f t="shared" si="2"/>
        <v>48878</v>
      </c>
      <c r="G14" s="33">
        <f t="shared" si="1"/>
        <v>4233</v>
      </c>
      <c r="H14" s="34">
        <f>(IF('Modelos de TES'!$J$3='Base de datos '!E14,'Modelos de TES'!$K$3+'Modelos de TES'!$G$3,'Modelos de TES'!$K$3))/((1+'Modelos de TES'!$I$3)^('Base de datos '!G14/365))</f>
        <v>8234366.3667735467</v>
      </c>
      <c r="I14" s="36">
        <f>IF('Modelos de TES'!$J$3&gt;='Base de datos '!E14,'Base de datos '!H14,0)</f>
        <v>8234366.3667735467</v>
      </c>
    </row>
    <row r="15" spans="1:9" x14ac:dyDescent="0.3">
      <c r="D15" s="2"/>
      <c r="E15" s="13">
        <f t="shared" si="3"/>
        <v>13</v>
      </c>
      <c r="F15" s="14">
        <f t="shared" si="2"/>
        <v>49243</v>
      </c>
      <c r="G15" s="33">
        <f t="shared" si="1"/>
        <v>4598</v>
      </c>
      <c r="H15" s="34">
        <f>(IF('Modelos de TES'!$J$3='Base de datos '!E15,'Modelos de TES'!$K$3+'Modelos de TES'!$G$3,'Modelos de TES'!$K$3))/((1+'Modelos de TES'!$I$3)^('Base de datos '!G15/365))</f>
        <v>7842253.6826414727</v>
      </c>
      <c r="I15" s="36">
        <f>IF('Modelos de TES'!$J$3&gt;='Base de datos '!E15,'Base de datos '!H15,0)</f>
        <v>7842253.6826414727</v>
      </c>
    </row>
    <row r="16" spans="1:9" x14ac:dyDescent="0.3">
      <c r="D16" s="2"/>
      <c r="E16" s="13">
        <f t="shared" si="3"/>
        <v>14</v>
      </c>
      <c r="F16" s="14">
        <f t="shared" si="2"/>
        <v>49608</v>
      </c>
      <c r="G16" s="33">
        <f t="shared" si="1"/>
        <v>4963</v>
      </c>
      <c r="H16" s="34">
        <f>(IF('Modelos de TES'!$J$3='Base de datos '!E16,'Modelos de TES'!$K$3+'Modelos de TES'!$G$3,'Modelos de TES'!$K$3))/((1+'Modelos de TES'!$I$3)^('Base de datos '!G16/365))</f>
        <v>7468813.0310871163</v>
      </c>
      <c r="I16" s="36">
        <f>IF('Modelos de TES'!$J$3&gt;='Base de datos '!E16,'Base de datos '!H16,0)</f>
        <v>7468813.0310871163</v>
      </c>
    </row>
    <row r="17" spans="4:10" x14ac:dyDescent="0.3">
      <c r="D17" s="2"/>
      <c r="E17" s="13">
        <f t="shared" si="3"/>
        <v>15</v>
      </c>
      <c r="F17" s="14">
        <f t="shared" si="2"/>
        <v>49974</v>
      </c>
      <c r="G17" s="33">
        <f t="shared" si="1"/>
        <v>5328</v>
      </c>
      <c r="H17" s="34">
        <f>(IF('Modelos de TES'!$J$3='Base de datos '!E17,'Modelos de TES'!$K$3+'Modelos de TES'!$G$3,'Modelos de TES'!$K$3))/((1+'Modelos de TES'!$I$3)^('Base de datos '!G17/365))</f>
        <v>7113155.2677020151</v>
      </c>
      <c r="I17" s="36">
        <f>IF('Modelos de TES'!$J$3&gt;='Base de datos '!E17,'Base de datos '!H17,0)</f>
        <v>7113155.2677020151</v>
      </c>
      <c r="J17" s="3"/>
    </row>
    <row r="18" spans="4:10" x14ac:dyDescent="0.3">
      <c r="D18" s="2"/>
      <c r="E18" s="13">
        <f t="shared" si="3"/>
        <v>16</v>
      </c>
      <c r="F18" s="14">
        <f t="shared" si="2"/>
        <v>50339</v>
      </c>
      <c r="G18" s="33">
        <f t="shared" si="1"/>
        <v>5693</v>
      </c>
      <c r="H18" s="34">
        <f>(IF('Modelos de TES'!$J$3='Base de datos '!E18,'Modelos de TES'!$K$3+'Modelos de TES'!$G$3,'Modelos de TES'!$K$3))/((1+'Modelos de TES'!$I$3)^('Base de datos '!G18/365))</f>
        <v>6774433.5882876338</v>
      </c>
      <c r="I18" s="36">
        <f>IF('Modelos de TES'!$J$3&gt;='Base de datos '!E18,'Base de datos '!H18,0)</f>
        <v>6774433.5882876338</v>
      </c>
    </row>
    <row r="19" spans="4:10" x14ac:dyDescent="0.3">
      <c r="D19" s="2"/>
      <c r="E19" s="13">
        <f t="shared" si="3"/>
        <v>17</v>
      </c>
      <c r="F19" s="14">
        <f t="shared" si="2"/>
        <v>50704</v>
      </c>
      <c r="G19" s="33">
        <f t="shared" si="1"/>
        <v>6058</v>
      </c>
      <c r="H19" s="34">
        <f>(IF('Modelos de TES'!$J$3='Base de datos '!E19,'Modelos de TES'!$K$3+'Modelos de TES'!$G$3,'Modelos de TES'!$K$3))/((1+'Modelos de TES'!$I$3)^('Base de datos '!G19/365))</f>
        <v>6451841.5126548894</v>
      </c>
      <c r="I19" s="36">
        <f>IF('Modelos de TES'!$J$3&gt;='Base de datos '!E19,'Base de datos '!H19,0)</f>
        <v>6451841.5126548894</v>
      </c>
    </row>
    <row r="20" spans="4:10" x14ac:dyDescent="0.3">
      <c r="D20" s="2"/>
      <c r="E20" s="13">
        <f t="shared" si="3"/>
        <v>18</v>
      </c>
      <c r="F20" s="14">
        <f t="shared" si="2"/>
        <v>51069</v>
      </c>
      <c r="G20" s="33">
        <f t="shared" si="1"/>
        <v>6423</v>
      </c>
      <c r="H20" s="34">
        <f>(IF('Modelos de TES'!$J$3='Base de datos '!E20,'Modelos de TES'!$K$3+'Modelos de TES'!$G$3,'Modelos de TES'!$K$3))/((1+'Modelos de TES'!$I$3)^('Base de datos '!G20/365))</f>
        <v>6144610.9644332277</v>
      </c>
      <c r="I20" s="36">
        <f>IF('Modelos de TES'!$J$3&gt;='Base de datos '!E20,'Base de datos '!H20,0)</f>
        <v>6144610.9644332277</v>
      </c>
    </row>
    <row r="21" spans="4:10" x14ac:dyDescent="0.3">
      <c r="D21" s="2"/>
      <c r="E21" s="13">
        <f t="shared" si="3"/>
        <v>19</v>
      </c>
      <c r="F21" s="14">
        <f t="shared" si="2"/>
        <v>51435</v>
      </c>
      <c r="G21" s="33">
        <f t="shared" si="1"/>
        <v>6788</v>
      </c>
      <c r="H21" s="34">
        <f>(IF('Modelos de TES'!$J$3='Base de datos '!E21,'Modelos de TES'!$K$3+'Modelos de TES'!$G$3,'Modelos de TES'!$K$3))/((1+'Modelos de TES'!$I$3)^('Base de datos '!G21/365))</f>
        <v>5852010.4423173591</v>
      </c>
      <c r="I21" s="36">
        <f>IF('Modelos de TES'!$J$3&gt;='Base de datos '!E21,'Base de datos '!H21,0)</f>
        <v>5852010.4423173591</v>
      </c>
    </row>
    <row r="22" spans="4:10" x14ac:dyDescent="0.3">
      <c r="D22" s="2"/>
      <c r="E22" s="13">
        <f t="shared" si="3"/>
        <v>20</v>
      </c>
      <c r="F22" s="14">
        <f t="shared" si="2"/>
        <v>51800</v>
      </c>
      <c r="G22" s="33">
        <f t="shared" si="1"/>
        <v>7153</v>
      </c>
      <c r="H22" s="34">
        <f>(IF('Modelos de TES'!$J$3='Base de datos '!E22,'Modelos de TES'!$K$3+'Modelos de TES'!$G$3,'Modelos de TES'!$K$3))/((1+'Modelos de TES'!$I$3)^('Base de datos '!G22/365))</f>
        <v>5573343.2783974856</v>
      </c>
      <c r="I22" s="36">
        <f>IF('Modelos de TES'!$J$3&gt;='Base de datos '!E22,'Base de datos '!H22,0)</f>
        <v>5573343.2783974856</v>
      </c>
    </row>
    <row r="23" spans="4:10" x14ac:dyDescent="0.3">
      <c r="D23" s="2"/>
      <c r="E23" s="13">
        <f t="shared" si="3"/>
        <v>21</v>
      </c>
      <c r="F23" s="14">
        <f t="shared" si="2"/>
        <v>52165</v>
      </c>
      <c r="G23" s="33">
        <f t="shared" si="1"/>
        <v>7518</v>
      </c>
      <c r="H23" s="34">
        <f>(IF('Modelos de TES'!$J$3='Base de datos '!E23,'Modelos de TES'!$K$3+'Modelos de TES'!$G$3,'Modelos de TES'!$K$3))/((1+'Modelos de TES'!$I$3)^('Base de datos '!G23/365))</f>
        <v>5307945.9794261763</v>
      </c>
      <c r="I23" s="36">
        <f>IF('Modelos de TES'!$J$3&gt;='Base de datos '!E23,'Base de datos '!H23,0)</f>
        <v>5307945.9794261763</v>
      </c>
    </row>
    <row r="24" spans="4:10" x14ac:dyDescent="0.3">
      <c r="E24" s="13">
        <f t="shared" si="3"/>
        <v>22</v>
      </c>
      <c r="F24" s="14">
        <f t="shared" si="2"/>
        <v>52530</v>
      </c>
      <c r="G24" s="33">
        <f t="shared" si="1"/>
        <v>7883</v>
      </c>
      <c r="H24" s="34">
        <f>(IF('Modelos de TES'!$J$3='Base de datos '!E24,'Modelos de TES'!$K$3+'Modelos de TES'!$G$3,'Modelos de TES'!$K$3))/((1+'Modelos de TES'!$I$3)^('Base de datos '!G24/365))</f>
        <v>5055186.647072549</v>
      </c>
      <c r="I24" s="36">
        <f>IF('Modelos de TES'!$J$3&gt;='Base de datos '!E24,'Base de datos '!H24,0)</f>
        <v>5055186.647072549</v>
      </c>
    </row>
    <row r="25" spans="4:10" x14ac:dyDescent="0.3">
      <c r="E25" s="13">
        <f t="shared" si="3"/>
        <v>23</v>
      </c>
      <c r="F25" s="14">
        <f t="shared" si="2"/>
        <v>52896</v>
      </c>
      <c r="G25" s="33">
        <f t="shared" si="1"/>
        <v>8248</v>
      </c>
      <c r="H25" s="34">
        <f>(IF('Modelos de TES'!$J$3='Base de datos '!E25,'Modelos de TES'!$K$3+'Modelos de TES'!$G$3,'Modelos de TES'!$K$3))/((1+'Modelos de TES'!$I$3)^('Base de datos '!G25/365))</f>
        <v>4814463.4734024266</v>
      </c>
      <c r="I25" s="36">
        <f>IF('Modelos de TES'!$J$3&gt;='Base de datos '!E25,'Base de datos '!H25,0)</f>
        <v>4814463.4734024266</v>
      </c>
    </row>
    <row r="26" spans="4:10" x14ac:dyDescent="0.3">
      <c r="E26" s="13">
        <f t="shared" si="3"/>
        <v>24</v>
      </c>
      <c r="F26" s="14">
        <f t="shared" si="2"/>
        <v>53261</v>
      </c>
      <c r="G26" s="33">
        <f t="shared" si="1"/>
        <v>8613</v>
      </c>
      <c r="H26" s="34">
        <f>(IF('Modelos de TES'!$J$3='Base de datos '!E26,'Modelos de TES'!$K$3+'Modelos de TES'!$G$3,'Modelos de TES'!$K$3))/((1+'Modelos de TES'!$I$3)^('Base de datos '!G26/365))</f>
        <v>4585203.3080023117</v>
      </c>
      <c r="I26" s="36">
        <f>IF('Modelos de TES'!$J$3&gt;='Base de datos '!E26,'Base de datos '!H26,0)</f>
        <v>4585203.3080023117</v>
      </c>
    </row>
    <row r="27" spans="4:10" x14ac:dyDescent="0.3">
      <c r="E27" s="13">
        <f t="shared" si="3"/>
        <v>25</v>
      </c>
      <c r="F27" s="14">
        <f t="shared" si="2"/>
        <v>53626</v>
      </c>
      <c r="G27" s="33">
        <f t="shared" si="1"/>
        <v>8978</v>
      </c>
      <c r="H27" s="34">
        <f>(IF('Modelos de TES'!$J$3='Base de datos '!E27,'Modelos de TES'!$K$3+'Modelos de TES'!$G$3,'Modelos de TES'!$K$3))/((1+'Modelos de TES'!$I$3)^('Base de datos '!G27/365))</f>
        <v>4366860.2933355337</v>
      </c>
      <c r="I27" s="36">
        <f>IF('Modelos de TES'!$J$3&gt;='Base de datos '!E27,'Base de datos '!H27,0)</f>
        <v>4366860.2933355337</v>
      </c>
    </row>
    <row r="28" spans="4:10" x14ac:dyDescent="0.3">
      <c r="E28" s="13">
        <f t="shared" si="3"/>
        <v>26</v>
      </c>
      <c r="F28" s="14">
        <f t="shared" si="2"/>
        <v>53991</v>
      </c>
      <c r="G28" s="33">
        <f t="shared" si="1"/>
        <v>9343</v>
      </c>
      <c r="H28" s="34">
        <f>(IF('Modelos de TES'!$J$3='Base de datos '!E28,'Modelos de TES'!$K$3+'Modelos de TES'!$G$3,'Modelos de TES'!$K$3))/((1+'Modelos de TES'!$I$3)^('Base de datos '!G28/365))</f>
        <v>4158914.5650814613</v>
      </c>
      <c r="I28" s="36">
        <f>IF('Modelos de TES'!$J$3&gt;='Base de datos '!E28,'Base de datos '!H28,0)</f>
        <v>4158914.5650814613</v>
      </c>
    </row>
    <row r="29" spans="4:10" x14ac:dyDescent="0.3">
      <c r="E29" s="13">
        <f t="shared" si="3"/>
        <v>27</v>
      </c>
      <c r="F29" s="14">
        <f t="shared" si="2"/>
        <v>54357</v>
      </c>
      <c r="G29" s="33">
        <f t="shared" si="1"/>
        <v>9708</v>
      </c>
      <c r="H29" s="34">
        <f>(IF('Modelos de TES'!$J$3='Base de datos '!E29,'Modelos de TES'!$K$3+'Modelos de TES'!$G$3,'Modelos de TES'!$K$3))/((1+'Modelos de TES'!$I$3)^('Base de datos '!G29/365))</f>
        <v>3960871.0143632959</v>
      </c>
      <c r="I29" s="36">
        <f>IF('Modelos de TES'!$J$3&gt;='Base de datos '!E29,'Base de datos '!H29,0)</f>
        <v>3960871.0143632959</v>
      </c>
    </row>
    <row r="30" spans="4:10" x14ac:dyDescent="0.3">
      <c r="E30" s="13">
        <f t="shared" si="3"/>
        <v>28</v>
      </c>
      <c r="F30" s="14">
        <f t="shared" si="2"/>
        <v>54722</v>
      </c>
      <c r="G30" s="33">
        <f t="shared" si="1"/>
        <v>10073</v>
      </c>
      <c r="H30" s="34">
        <f>(IF('Modelos de TES'!$J$3='Base de datos '!E30,'Modelos de TES'!$K$3+'Modelos de TES'!$G$3,'Modelos de TES'!$K$3))/((1+'Modelos de TES'!$I$3)^('Base de datos '!G30/365))</f>
        <v>3772258.1089174249</v>
      </c>
      <c r="I30" s="36">
        <f>IF('Modelos de TES'!$J$3&gt;='Base de datos '!E30,'Base de datos '!H30,0)</f>
        <v>3772258.1089174249</v>
      </c>
    </row>
    <row r="31" spans="4:10" x14ac:dyDescent="0.3">
      <c r="E31" s="13">
        <f t="shared" si="3"/>
        <v>29</v>
      </c>
      <c r="F31" s="14">
        <f t="shared" si="2"/>
        <v>55087</v>
      </c>
      <c r="G31" s="33">
        <f t="shared" si="1"/>
        <v>10438</v>
      </c>
      <c r="H31" s="34">
        <f>(IF('Modelos de TES'!$J$3='Base de datos '!E31,'Modelos de TES'!$K$3+'Modelos de TES'!$G$3,'Modelos de TES'!$K$3))/((1+'Modelos de TES'!$I$3)^('Base de datos '!G31/365))</f>
        <v>53146099.465536132</v>
      </c>
      <c r="I31" s="36">
        <f>IF('Modelos de TES'!$J$3&gt;='Base de datos '!E31,'Base de datos '!H31,0)</f>
        <v>53146099.465536132</v>
      </c>
    </row>
    <row r="32" spans="4:10" x14ac:dyDescent="0.3">
      <c r="E32" s="13">
        <f t="shared" si="3"/>
        <v>30</v>
      </c>
      <c r="F32" s="14" t="e">
        <f t="shared" si="2"/>
        <v>#NUM!</v>
      </c>
      <c r="G32" s="33">
        <f t="shared" si="1"/>
        <v>10803</v>
      </c>
      <c r="H32" s="34">
        <f>(IF('Modelos de TES'!$J$3='Base de datos '!E32,'Modelos de TES'!$K$3+'Modelos de TES'!$G$3,'Modelos de TES'!$K$3))/((1+'Modelos de TES'!$I$3)^('Base de datos '!G32/365))</f>
        <v>3421549.3051405214</v>
      </c>
      <c r="I32" s="36">
        <f>IF('Modelos de TES'!$J$3&gt;='Base de datos '!E32,'Base de datos '!H32,0)</f>
        <v>0</v>
      </c>
    </row>
    <row r="33" spans="5:9" x14ac:dyDescent="0.3">
      <c r="E33" s="13">
        <f t="shared" si="3"/>
        <v>31</v>
      </c>
      <c r="F33" s="14" t="e">
        <f t="shared" si="2"/>
        <v>#NUM!</v>
      </c>
      <c r="G33" s="33">
        <f t="shared" si="1"/>
        <v>11168</v>
      </c>
      <c r="H33" s="34">
        <f>(IF('Modelos de TES'!$J$3='Base de datos '!E33,'Modelos de TES'!$K$3+'Modelos de TES'!$G$3,'Modelos de TES'!$K$3))/((1+'Modelos de TES'!$I$3)^('Base de datos '!G33/365))</f>
        <v>3258618.3858481152</v>
      </c>
      <c r="I33" s="36">
        <f>IF('Modelos de TES'!$J$3&gt;='Base de datos '!E33,'Base de datos '!H33,0)</f>
        <v>0</v>
      </c>
    </row>
    <row r="34" spans="5:9" x14ac:dyDescent="0.3">
      <c r="E34" s="13">
        <f t="shared" si="3"/>
        <v>32</v>
      </c>
      <c r="F34" s="14" t="e">
        <f t="shared" si="2"/>
        <v>#NUM!</v>
      </c>
      <c r="G34" s="33">
        <f t="shared" si="1"/>
        <v>11533</v>
      </c>
      <c r="H34" s="34">
        <f>(IF('Modelos de TES'!$J$3='Base de datos '!E34,'Modelos de TES'!$K$3+'Modelos de TES'!$G$3,'Modelos de TES'!$K$3))/((1+'Modelos de TES'!$I$3)^('Base de datos '!G34/365))</f>
        <v>3103446.0817601099</v>
      </c>
      <c r="I34" s="36">
        <f>IF('Modelos de TES'!$J$3&gt;='Base de datos '!E34,'Base de datos '!H34,0)</f>
        <v>0</v>
      </c>
    </row>
    <row r="35" spans="5:9" x14ac:dyDescent="0.3">
      <c r="E35" s="13">
        <f t="shared" si="3"/>
        <v>33</v>
      </c>
      <c r="F35" s="14" t="e">
        <f t="shared" si="2"/>
        <v>#NUM!</v>
      </c>
      <c r="G35" s="33">
        <f t="shared" si="1"/>
        <v>11898</v>
      </c>
      <c r="H35" s="34">
        <f>(IF('Modelos de TES'!$J$3='Base de datos '!E35,'Modelos de TES'!$K$3+'Modelos de TES'!$G$3,'Modelos de TES'!$K$3))/((1+'Modelos de TES'!$I$3)^('Base de datos '!G35/365))</f>
        <v>2955662.9350096276</v>
      </c>
      <c r="I35" s="36">
        <f>IF('Modelos de TES'!$J$3&gt;='Base de datos '!E35,'Base de datos '!H35,0)</f>
        <v>0</v>
      </c>
    </row>
    <row r="36" spans="5:9" x14ac:dyDescent="0.3">
      <c r="E36" s="13">
        <f t="shared" si="3"/>
        <v>34</v>
      </c>
      <c r="F36" s="14" t="e">
        <f t="shared" si="2"/>
        <v>#NUM!</v>
      </c>
      <c r="G36" s="33">
        <f t="shared" si="1"/>
        <v>12263</v>
      </c>
      <c r="H36" s="34">
        <f>(IF('Modelos de TES'!$J$3='Base de datos '!E36,'Modelos de TES'!$K$3+'Modelos de TES'!$G$3,'Modelos de TES'!$K$3))/((1+'Modelos de TES'!$I$3)^('Base de datos '!G36/365))</f>
        <v>2814917.0809615501</v>
      </c>
      <c r="I36" s="36">
        <f>IF('Modelos de TES'!$J$3&gt;='Base de datos '!E36,'Base de datos '!H36,0)</f>
        <v>0</v>
      </c>
    </row>
    <row r="37" spans="5:9" x14ac:dyDescent="0.3">
      <c r="E37" s="13">
        <f t="shared" si="3"/>
        <v>35</v>
      </c>
      <c r="F37" s="14" t="e">
        <f t="shared" si="2"/>
        <v>#NUM!</v>
      </c>
      <c r="G37" s="33">
        <f t="shared" si="1"/>
        <v>12628</v>
      </c>
      <c r="H37" s="34">
        <f>(IF('Modelos de TES'!$J$3='Base de datos '!E37,'Modelos de TES'!$K$3+'Modelos de TES'!$G$3,'Modelos de TES'!$K$3))/((1+'Modelos de TES'!$I$3)^('Base de datos '!G37/365))</f>
        <v>2680873.4104395714</v>
      </c>
      <c r="I37" s="36">
        <f>IF('Modelos de TES'!$J$3&gt;='Base de datos '!E37,'Base de datos '!H37,0)</f>
        <v>0</v>
      </c>
    </row>
    <row r="38" spans="5:9" x14ac:dyDescent="0.3">
      <c r="E38" s="13">
        <f t="shared" si="3"/>
        <v>36</v>
      </c>
      <c r="F38" s="14" t="e">
        <f t="shared" si="2"/>
        <v>#NUM!</v>
      </c>
      <c r="G38" s="33">
        <f t="shared" si="1"/>
        <v>12993</v>
      </c>
      <c r="H38" s="34">
        <f>(IF('Modelos de TES'!$J$3='Base de datos '!E38,'Modelos de TES'!$K$3+'Modelos de TES'!$G$3,'Modelos de TES'!$K$3))/((1+'Modelos de TES'!$I$3)^('Base de datos '!G38/365))</f>
        <v>2553212.7718472113</v>
      </c>
      <c r="I38" s="36">
        <f>IF('Modelos de TES'!$J$3&gt;='Base de datos '!E38,'Base de datos '!H38,0)</f>
        <v>0</v>
      </c>
    </row>
    <row r="39" spans="5:9" x14ac:dyDescent="0.3">
      <c r="E39" s="13">
        <f t="shared" si="3"/>
        <v>37</v>
      </c>
      <c r="F39" s="14" t="e">
        <f t="shared" si="2"/>
        <v>#NUM!</v>
      </c>
      <c r="G39" s="33">
        <f t="shared" si="1"/>
        <v>13358</v>
      </c>
      <c r="H39" s="34">
        <f>(IF('Modelos de TES'!$J$3='Base de datos '!E39,'Modelos de TES'!$K$3+'Modelos de TES'!$G$3,'Modelos de TES'!$K$3))/((1+'Modelos de TES'!$I$3)^('Base de datos '!G39/365))</f>
        <v>2431631.2112830579</v>
      </c>
      <c r="I39" s="36">
        <f>IF('Modelos de TES'!$J$3&gt;='Base de datos '!E39,'Base de datos '!H39,0)</f>
        <v>0</v>
      </c>
    </row>
    <row r="40" spans="5:9" x14ac:dyDescent="0.3">
      <c r="E40" s="13">
        <f t="shared" si="3"/>
        <v>38</v>
      </c>
      <c r="F40" s="14" t="e">
        <f t="shared" si="2"/>
        <v>#NUM!</v>
      </c>
      <c r="G40" s="33">
        <f t="shared" si="1"/>
        <v>13723</v>
      </c>
      <c r="H40" s="34">
        <f>(IF('Modelos de TES'!$J$3='Base de datos '!E40,'Modelos de TES'!$K$3+'Modelos de TES'!$G$3,'Modelos de TES'!$K$3))/((1+'Modelos de TES'!$I$3)^('Base de datos '!G40/365))</f>
        <v>2315839.2488410077</v>
      </c>
      <c r="I40" s="36">
        <f>IF('Modelos de TES'!$J$3&gt;='Base de datos '!E40,'Base de datos '!H40,0)</f>
        <v>0</v>
      </c>
    </row>
    <row r="41" spans="5:9" x14ac:dyDescent="0.3">
      <c r="E41" s="13">
        <f t="shared" si="3"/>
        <v>39</v>
      </c>
      <c r="F41" s="14" t="e">
        <f t="shared" si="2"/>
        <v>#NUM!</v>
      </c>
      <c r="G41" s="33">
        <f t="shared" si="1"/>
        <v>14088</v>
      </c>
      <c r="H41" s="34">
        <f>(IF('Modelos de TES'!$J$3='Base de datos '!E41,'Modelos de TES'!$K$3+'Modelos de TES'!$G$3,'Modelos de TES'!$K$3))/((1+'Modelos de TES'!$I$3)^('Base de datos '!G41/365))</f>
        <v>2205561.1893723877</v>
      </c>
      <c r="I41" s="36">
        <f>IF('Modelos de TES'!$J$3&gt;='Base de datos '!E41,'Base de datos '!H41,0)</f>
        <v>0</v>
      </c>
    </row>
    <row r="42" spans="5:9" x14ac:dyDescent="0.3">
      <c r="E42" s="13">
        <f t="shared" si="3"/>
        <v>40</v>
      </c>
      <c r="F42" s="14" t="e">
        <f t="shared" si="2"/>
        <v>#NUM!</v>
      </c>
      <c r="G42" s="33">
        <f t="shared" si="1"/>
        <v>14453</v>
      </c>
      <c r="H42" s="34">
        <f>(IF('Modelos de TES'!$J$3='Base de datos '!E42,'Modelos de TES'!$K$3+'Modelos de TES'!$G$3,'Modelos de TES'!$K$3))/((1+'Modelos de TES'!$I$3)^('Base de datos '!G42/365))</f>
        <v>2100534.4660689407</v>
      </c>
      <c r="I42" s="36">
        <f>IF('Modelos de TES'!$J$3&gt;='Base de datos '!E42,'Base de datos '!H42,0)</f>
        <v>0</v>
      </c>
    </row>
    <row r="43" spans="5:9" x14ac:dyDescent="0.3">
      <c r="E43" s="13">
        <f t="shared" si="3"/>
        <v>41</v>
      </c>
      <c r="F43" s="14" t="e">
        <f t="shared" si="2"/>
        <v>#NUM!</v>
      </c>
      <c r="G43" s="33">
        <f t="shared" si="1"/>
        <v>14818</v>
      </c>
      <c r="H43" s="34">
        <f>(IF('Modelos de TES'!$J$3='Base de datos '!E43,'Modelos de TES'!$K$3+'Modelos de TES'!$G$3,'Modelos de TES'!$K$3))/((1+'Modelos de TES'!$I$3)^('Base de datos '!G43/365))</f>
        <v>2000509.0153037529</v>
      </c>
      <c r="I43" s="36">
        <f>IF('Modelos de TES'!$J$3&gt;='Base de datos '!E43,'Base de datos '!H43,0)</f>
        <v>0</v>
      </c>
    </row>
    <row r="44" spans="5:9" x14ac:dyDescent="0.3">
      <c r="E44" s="13">
        <f t="shared" si="3"/>
        <v>42</v>
      </c>
      <c r="F44" s="14" t="e">
        <f t="shared" si="2"/>
        <v>#NUM!</v>
      </c>
      <c r="G44" s="33">
        <f t="shared" si="1"/>
        <v>15183</v>
      </c>
      <c r="H44" s="34">
        <f>(IF('Modelos de TES'!$J$3='Base de datos '!E44,'Modelos de TES'!$K$3+'Modelos de TES'!$G$3,'Modelos de TES'!$K$3))/((1+'Modelos de TES'!$I$3)^('Base de datos '!G44/365))</f>
        <v>1905246.6812416692</v>
      </c>
      <c r="I44" s="36">
        <f>IF('Modelos de TES'!$J$3&gt;='Base de datos '!E44,'Base de datos '!H44,0)</f>
        <v>0</v>
      </c>
    </row>
    <row r="45" spans="5:9" x14ac:dyDescent="0.3">
      <c r="E45" s="13">
        <f t="shared" si="3"/>
        <v>43</v>
      </c>
      <c r="F45" s="14" t="e">
        <f t="shared" si="2"/>
        <v>#NUM!</v>
      </c>
      <c r="G45" s="33">
        <f t="shared" si="1"/>
        <v>15548</v>
      </c>
      <c r="H45" s="34">
        <f>(IF('Modelos de TES'!$J$3='Base de datos '!E45,'Modelos de TES'!$K$3+'Modelos de TES'!$G$3,'Modelos de TES'!$K$3))/((1+'Modelos de TES'!$I$3)^('Base de datos '!G45/365))</f>
        <v>1814520.6488015903</v>
      </c>
      <c r="I45" s="36">
        <f>IF('Modelos de TES'!$J$3&gt;='Base de datos '!E45,'Base de datos '!H45,0)</f>
        <v>0</v>
      </c>
    </row>
    <row r="46" spans="5:9" x14ac:dyDescent="0.3">
      <c r="E46" s="13">
        <f t="shared" si="3"/>
        <v>44</v>
      </c>
      <c r="F46" s="14" t="e">
        <f t="shared" si="2"/>
        <v>#NUM!</v>
      </c>
      <c r="G46" s="33">
        <f t="shared" si="1"/>
        <v>15913</v>
      </c>
      <c r="H46" s="34">
        <f>(IF('Modelos de TES'!$J$3='Base de datos '!E46,'Modelos de TES'!$K$3+'Modelos de TES'!$G$3,'Modelos de TES'!$K$3))/((1+'Modelos de TES'!$I$3)^('Base de datos '!G46/365))</f>
        <v>1728114.9036205618</v>
      </c>
      <c r="I46" s="36">
        <f>IF('Modelos de TES'!$J$3&gt;='Base de datos '!E46,'Base de datos '!H46,0)</f>
        <v>0</v>
      </c>
    </row>
    <row r="47" spans="5:9" x14ac:dyDescent="0.3">
      <c r="E47" s="13">
        <f t="shared" si="3"/>
        <v>45</v>
      </c>
      <c r="F47" s="14" t="e">
        <f t="shared" si="2"/>
        <v>#NUM!</v>
      </c>
      <c r="G47" s="33">
        <f t="shared" si="1"/>
        <v>16278</v>
      </c>
      <c r="H47" s="34">
        <f>(IF('Modelos de TES'!$J$3='Base de datos '!E47,'Modelos de TES'!$K$3+'Modelos de TES'!$G$3,'Modelos de TES'!$K$3))/((1+'Modelos de TES'!$I$3)^('Base de datos '!G47/365))</f>
        <v>1645823.7177338682</v>
      </c>
      <c r="I47" s="36">
        <f>IF('Modelos de TES'!$J$3&gt;='Base de datos '!E47,'Base de datos '!H47,0)</f>
        <v>0</v>
      </c>
    </row>
    <row r="48" spans="5:9" x14ac:dyDescent="0.3">
      <c r="E48" s="13">
        <f t="shared" si="3"/>
        <v>46</v>
      </c>
      <c r="F48" s="14" t="e">
        <f t="shared" si="2"/>
        <v>#NUM!</v>
      </c>
      <c r="G48" s="33">
        <f t="shared" si="1"/>
        <v>16643</v>
      </c>
      <c r="H48" s="34">
        <f>(IF('Modelos de TES'!$J$3='Base de datos '!E48,'Modelos de TES'!$K$3+'Modelos de TES'!$G$3,'Modelos de TES'!$K$3))/((1+'Modelos de TES'!$I$3)^('Base de datos '!G48/365))</f>
        <v>1567451.1597465407</v>
      </c>
      <c r="I48" s="36">
        <f>IF('Modelos de TES'!$J$3&gt;='Base de datos '!E48,'Base de datos '!H48,0)</f>
        <v>0</v>
      </c>
    </row>
    <row r="49" spans="5:9" x14ac:dyDescent="0.3">
      <c r="E49" s="13">
        <f t="shared" si="3"/>
        <v>47</v>
      </c>
      <c r="F49" s="14" t="e">
        <f t="shared" si="2"/>
        <v>#NUM!</v>
      </c>
      <c r="G49" s="33">
        <f t="shared" si="1"/>
        <v>17008</v>
      </c>
      <c r="H49" s="34">
        <f>(IF('Modelos de TES'!$J$3='Base de datos '!E49,'Modelos de TES'!$K$3+'Modelos de TES'!$G$3,'Modelos de TES'!$K$3))/((1+'Modelos de TES'!$I$3)^('Base de datos '!G49/365))</f>
        <v>1492810.6283300393</v>
      </c>
      <c r="I49" s="36">
        <f>IF('Modelos de TES'!$J$3&gt;='Base de datos '!E49,'Base de datos '!H49,0)</f>
        <v>0</v>
      </c>
    </row>
    <row r="50" spans="5:9" x14ac:dyDescent="0.3">
      <c r="E50" s="13">
        <f t="shared" si="3"/>
        <v>48</v>
      </c>
      <c r="F50" s="14" t="e">
        <f t="shared" si="2"/>
        <v>#NUM!</v>
      </c>
      <c r="G50" s="33">
        <f t="shared" si="1"/>
        <v>17373</v>
      </c>
      <c r="H50" s="34">
        <f>(IF('Modelos de TES'!$J$3='Base de datos '!E50,'Modelos de TES'!$K$3+'Modelos de TES'!$G$3,'Modelos de TES'!$K$3))/((1+'Modelos de TES'!$I$3)^('Base de datos '!G50/365))</f>
        <v>1421724.4079333704</v>
      </c>
      <c r="I50" s="36">
        <f>IF('Modelos de TES'!$J$3&gt;='Base de datos '!E50,'Base de datos '!H50,0)</f>
        <v>0</v>
      </c>
    </row>
    <row r="51" spans="5:9" x14ac:dyDescent="0.3">
      <c r="E51" s="13">
        <f t="shared" si="3"/>
        <v>49</v>
      </c>
      <c r="F51" s="14" t="e">
        <f t="shared" si="2"/>
        <v>#NUM!</v>
      </c>
      <c r="G51" s="33">
        <f t="shared" si="1"/>
        <v>17738</v>
      </c>
      <c r="H51" s="34">
        <f>(IF('Modelos de TES'!$J$3='Base de datos '!E51,'Modelos de TES'!$K$3+'Modelos de TES'!$G$3,'Modelos de TES'!$K$3))/((1+'Modelos de TES'!$I$3)^('Base de datos '!G51/365))</f>
        <v>1354023.2456508288</v>
      </c>
      <c r="I51" s="36">
        <f>IF('Modelos de TES'!$J$3&gt;='Base de datos '!E51,'Base de datos '!H51,0)</f>
        <v>0</v>
      </c>
    </row>
    <row r="52" spans="5:9" x14ac:dyDescent="0.3">
      <c r="E52" s="13">
        <f t="shared" si="3"/>
        <v>50</v>
      </c>
      <c r="F52" s="14" t="e">
        <f t="shared" si="2"/>
        <v>#NUM!</v>
      </c>
      <c r="G52" s="33">
        <f t="shared" si="1"/>
        <v>18103</v>
      </c>
      <c r="H52" s="34">
        <f>(IF('Modelos de TES'!$J$3='Base de datos '!E52,'Modelos de TES'!$K$3+'Modelos de TES'!$G$3,'Modelos de TES'!$K$3))/((1+'Modelos de TES'!$I$3)^('Base de datos '!G52/365))</f>
        <v>1289545.9482388846</v>
      </c>
      <c r="I52" s="36">
        <f>IF('Modelos de TES'!$J$3&gt;='Base de datos '!E52,'Base de datos '!H52,0)</f>
        <v>0</v>
      </c>
    </row>
    <row r="53" spans="5:9" x14ac:dyDescent="0.3">
      <c r="E53" s="13">
        <f t="shared" si="3"/>
        <v>51</v>
      </c>
      <c r="F53" s="14" t="e">
        <f t="shared" si="2"/>
        <v>#NUM!</v>
      </c>
      <c r="G53" s="33">
        <f t="shared" si="1"/>
        <v>18468</v>
      </c>
      <c r="H53" s="34">
        <f>(IF('Modelos de TES'!$J$3='Base de datos '!E53,'Modelos de TES'!$K$3+'Modelos de TES'!$G$3,'Modelos de TES'!$K$3))/((1+'Modelos de TES'!$I$3)^('Base de datos '!G53/365))</f>
        <v>1228138.9983227474</v>
      </c>
      <c r="I53" s="36">
        <f>IF('Modelos de TES'!$J$3&gt;='Base de datos '!E53,'Base de datos '!H53,0)</f>
        <v>0</v>
      </c>
    </row>
    <row r="54" spans="5:9" x14ac:dyDescent="0.3">
      <c r="E54" s="13">
        <f t="shared" si="3"/>
        <v>52</v>
      </c>
      <c r="F54" s="14" t="e">
        <f t="shared" si="2"/>
        <v>#NUM!</v>
      </c>
      <c r="G54" s="33">
        <f t="shared" si="1"/>
        <v>18833</v>
      </c>
      <c r="H54" s="34">
        <f>(IF('Modelos de TES'!$J$3='Base de datos '!E54,'Modelos de TES'!$K$3+'Modelos de TES'!$G$3,'Modelos de TES'!$K$3))/((1+'Modelos de TES'!$I$3)^('Base de datos '!G54/365))</f>
        <v>1169656.188878807</v>
      </c>
      <c r="I54" s="36">
        <f>IF('Modelos de TES'!$J$3&gt;='Base de datos '!E54,'Base de datos '!H54,0)</f>
        <v>0</v>
      </c>
    </row>
    <row r="55" spans="5:9" x14ac:dyDescent="0.3">
      <c r="E55" s="13">
        <f t="shared" si="3"/>
        <v>53</v>
      </c>
      <c r="F55" s="14" t="e">
        <f t="shared" si="2"/>
        <v>#NUM!</v>
      </c>
      <c r="G55" s="33">
        <f t="shared" si="1"/>
        <v>19198</v>
      </c>
      <c r="H55" s="34">
        <f>(IF('Modelos de TES'!$J$3='Base de datos '!E55,'Modelos de TES'!$K$3+'Modelos de TES'!$G$3,'Modelos de TES'!$K$3))/((1+'Modelos de TES'!$I$3)^('Base de datos '!G55/365))</f>
        <v>1113958.275122673</v>
      </c>
      <c r="I55" s="36">
        <f>IF('Modelos de TES'!$J$3&gt;='Base de datos '!E55,'Base de datos '!H55,0)</f>
        <v>0</v>
      </c>
    </row>
    <row r="56" spans="5:9" x14ac:dyDescent="0.3">
      <c r="E56" s="13">
        <f t="shared" si="3"/>
        <v>54</v>
      </c>
      <c r="F56" s="14" t="e">
        <f t="shared" si="2"/>
        <v>#NUM!</v>
      </c>
      <c r="G56" s="33">
        <f t="shared" si="1"/>
        <v>19563</v>
      </c>
      <c r="H56" s="34">
        <f>(IF('Modelos de TES'!$J$3='Base de datos '!E56,'Modelos de TES'!$K$3+'Modelos de TES'!$G$3,'Modelos de TES'!$K$3))/((1+'Modelos de TES'!$I$3)^('Base de datos '!G56/365))</f>
        <v>1060912.6429739741</v>
      </c>
      <c r="I56" s="36">
        <f>IF('Modelos de TES'!$J$3&gt;='Base de datos '!E56,'Base de datos '!H56,0)</f>
        <v>0</v>
      </c>
    </row>
    <row r="57" spans="5:9" x14ac:dyDescent="0.3">
      <c r="E57" s="13">
        <f t="shared" si="3"/>
        <v>55</v>
      </c>
      <c r="F57" s="14" t="e">
        <f t="shared" si="2"/>
        <v>#NUM!</v>
      </c>
      <c r="G57" s="33">
        <f t="shared" si="1"/>
        <v>19928</v>
      </c>
      <c r="H57" s="34">
        <f>(IF('Modelos de TES'!$J$3='Base de datos '!E57,'Modelos de TES'!$K$3+'Modelos de TES'!$G$3,'Modelos de TES'!$K$3))/((1+'Modelos de TES'!$I$3)^('Base de datos '!G57/365))</f>
        <v>1010392.9933085472</v>
      </c>
      <c r="I57" s="36">
        <f>IF('Modelos de TES'!$J$3&gt;='Base de datos '!E57,'Base de datos '!H57,0)</f>
        <v>0</v>
      </c>
    </row>
    <row r="58" spans="5:9" x14ac:dyDescent="0.3">
      <c r="E58" s="13">
        <f t="shared" si="3"/>
        <v>56</v>
      </c>
      <c r="F58" s="14" t="e">
        <f t="shared" si="2"/>
        <v>#NUM!</v>
      </c>
      <c r="G58" s="33">
        <f t="shared" si="1"/>
        <v>20293</v>
      </c>
      <c r="H58" s="34">
        <f>(IF('Modelos de TES'!$J$3='Base de datos '!E58,'Modelos de TES'!$K$3+'Modelos de TES'!$G$3,'Modelos de TES'!$K$3))/((1+'Modelos de TES'!$I$3)^('Base de datos '!G58/365))</f>
        <v>962279.04124623514</v>
      </c>
      <c r="I58" s="36">
        <f>IF('Modelos de TES'!$J$3&gt;='Base de datos '!E58,'Base de datos '!H58,0)</f>
        <v>0</v>
      </c>
    </row>
    <row r="59" spans="5:9" x14ac:dyDescent="0.3">
      <c r="E59" s="13">
        <f t="shared" si="3"/>
        <v>57</v>
      </c>
      <c r="F59" s="14" t="e">
        <f t="shared" si="2"/>
        <v>#NUM!</v>
      </c>
      <c r="G59" s="33">
        <f t="shared" si="1"/>
        <v>20658</v>
      </c>
      <c r="H59" s="34">
        <f>(IF('Modelos de TES'!$J$3='Base de datos '!E59,'Modelos de TES'!$K$3+'Modelos de TES'!$G$3,'Modelos de TES'!$K$3))/((1+'Modelos de TES'!$I$3)^('Base de datos '!G59/365))</f>
        <v>916456.2297583191</v>
      </c>
      <c r="I59" s="36">
        <f>IF('Modelos de TES'!$J$3&gt;='Base de datos '!E59,'Base de datos '!H59,0)</f>
        <v>0</v>
      </c>
    </row>
    <row r="60" spans="5:9" x14ac:dyDescent="0.3">
      <c r="E60" s="13">
        <f t="shared" si="3"/>
        <v>58</v>
      </c>
      <c r="F60" s="14" t="e">
        <f t="shared" si="2"/>
        <v>#NUM!</v>
      </c>
      <c r="G60" s="33">
        <f t="shared" si="1"/>
        <v>21023</v>
      </c>
      <c r="H60" s="34">
        <f>(IF('Modelos de TES'!$J$3='Base de datos '!E60,'Modelos de TES'!$K$3+'Modelos de TES'!$G$3,'Modelos de TES'!$K$3))/((1+'Modelos de TES'!$I$3)^('Base de datos '!G60/365))</f>
        <v>872815.45691268472</v>
      </c>
      <c r="I60" s="36">
        <f>IF('Modelos de TES'!$J$3&gt;='Base de datos '!E60,'Base de datos '!H60,0)</f>
        <v>0</v>
      </c>
    </row>
    <row r="61" spans="5:9" x14ac:dyDescent="0.3">
      <c r="E61" s="13">
        <f t="shared" si="3"/>
        <v>59</v>
      </c>
      <c r="F61" s="14" t="e">
        <f t="shared" si="2"/>
        <v>#NUM!</v>
      </c>
      <c r="G61" s="33">
        <f t="shared" si="1"/>
        <v>21388</v>
      </c>
      <c r="H61" s="34">
        <f>(IF('Modelos de TES'!$J$3='Base de datos '!E61,'Modelos de TES'!$K$3+'Modelos de TES'!$G$3,'Modelos de TES'!$K$3))/((1+'Modelos de TES'!$I$3)^('Base de datos '!G61/365))</f>
        <v>831252.81610731897</v>
      </c>
      <c r="I61" s="36">
        <f>IF('Modelos de TES'!$J$3&gt;='Base de datos '!E61,'Base de datos '!H61,0)</f>
        <v>0</v>
      </c>
    </row>
    <row r="62" spans="5:9" x14ac:dyDescent="0.3">
      <c r="E62" s="13">
        <f t="shared" si="3"/>
        <v>60</v>
      </c>
      <c r="F62" s="14" t="e">
        <f t="shared" si="2"/>
        <v>#NUM!</v>
      </c>
      <c r="G62" s="33">
        <f t="shared" si="1"/>
        <v>21753</v>
      </c>
      <c r="H62" s="34">
        <f>(IF('Modelos de TES'!$J$3='Base de datos '!E62,'Modelos de TES'!$K$3+'Modelos de TES'!$G$3,'Modelos de TES'!$K$3))/((1+'Modelos de TES'!$I$3)^('Base de datos '!G62/365))</f>
        <v>791669.34867363703</v>
      </c>
      <c r="I62" s="36">
        <f>IF('Modelos de TES'!$J$3&gt;='Base de datos '!E62,'Base de datos '!H62,0)</f>
        <v>0</v>
      </c>
    </row>
    <row r="63" spans="5:9" x14ac:dyDescent="0.3">
      <c r="E63" s="13">
        <f t="shared" si="3"/>
        <v>61</v>
      </c>
      <c r="F63" s="14" t="e">
        <f t="shared" si="2"/>
        <v>#NUM!</v>
      </c>
      <c r="G63" s="33">
        <f t="shared" si="1"/>
        <v>22118</v>
      </c>
      <c r="H63" s="34">
        <f>(IF('Modelos de TES'!$J$3='Base de datos '!E63,'Modelos de TES'!$K$3+'Modelos de TES'!$G$3,'Modelos de TES'!$K$3))/((1+'Modelos de TES'!$I$3)^('Base de datos '!G63/365))</f>
        <v>753970.8082606066</v>
      </c>
      <c r="I63" s="36">
        <f>IF('Modelos de TES'!$J$3&gt;='Base de datos '!E63,'Base de datos '!H63,0)</f>
        <v>0</v>
      </c>
    </row>
    <row r="64" spans="5:9" x14ac:dyDescent="0.3">
      <c r="E64" s="13">
        <f t="shared" si="3"/>
        <v>62</v>
      </c>
      <c r="F64" s="14" t="e">
        <f t="shared" si="2"/>
        <v>#NUM!</v>
      </c>
      <c r="G64" s="33">
        <f t="shared" si="1"/>
        <v>22483</v>
      </c>
      <c r="H64" s="34">
        <f>(IF('Modelos de TES'!$J$3='Base de datos '!E64,'Modelos de TES'!$K$3+'Modelos de TES'!$G$3,'Modelos de TES'!$K$3))/((1+'Modelos de TES'!$I$3)^('Base de datos '!G64/365))</f>
        <v>718067.43643867283</v>
      </c>
      <c r="I64" s="36">
        <f>IF('Modelos de TES'!$J$3&gt;='Base de datos '!E64,'Base de datos '!H64,0)</f>
        <v>0</v>
      </c>
    </row>
    <row r="65" spans="5:9" x14ac:dyDescent="0.3">
      <c r="E65" s="13">
        <f t="shared" si="3"/>
        <v>63</v>
      </c>
      <c r="F65" s="14" t="e">
        <f t="shared" si="2"/>
        <v>#NUM!</v>
      </c>
      <c r="G65" s="33">
        <f t="shared" si="1"/>
        <v>22848</v>
      </c>
      <c r="H65" s="34">
        <f>(IF('Modelos de TES'!$J$3='Base de datos '!E65,'Modelos de TES'!$K$3+'Modelos de TES'!$G$3,'Modelos de TES'!$K$3))/((1+'Modelos de TES'!$I$3)^('Base de datos '!G65/365))</f>
        <v>683873.74898921233</v>
      </c>
      <c r="I65" s="36">
        <f>IF('Modelos de TES'!$J$3&gt;='Base de datos '!E65,'Base de datos '!H65,0)</f>
        <v>0</v>
      </c>
    </row>
    <row r="66" spans="5:9" x14ac:dyDescent="0.3">
      <c r="E66" s="13">
        <f t="shared" si="3"/>
        <v>64</v>
      </c>
      <c r="F66" s="14" t="e">
        <f t="shared" si="2"/>
        <v>#NUM!</v>
      </c>
      <c r="G66" s="33">
        <f t="shared" si="1"/>
        <v>23213</v>
      </c>
      <c r="H66" s="34">
        <f>(IF('Modelos de TES'!$J$3='Base de datos '!E66,'Modelos de TES'!$K$3+'Modelos de TES'!$G$3,'Modelos de TES'!$K$3))/((1+'Modelos de TES'!$I$3)^('Base de datos '!G66/365))</f>
        <v>651308.33237067843</v>
      </c>
      <c r="I66" s="36">
        <f>IF('Modelos de TES'!$J$3&gt;='Base de datos '!E66,'Base de datos '!H66,0)</f>
        <v>0</v>
      </c>
    </row>
    <row r="67" spans="5:9" x14ac:dyDescent="0.3">
      <c r="E67" s="13">
        <f t="shared" si="3"/>
        <v>65</v>
      </c>
      <c r="F67" s="14" t="e">
        <f t="shared" si="2"/>
        <v>#NUM!</v>
      </c>
      <c r="G67" s="33">
        <f t="shared" si="1"/>
        <v>23578</v>
      </c>
      <c r="H67" s="34">
        <f>(IF('Modelos de TES'!$J$3='Base de datos '!E67,'Modelos de TES'!$K$3+'Modelos de TES'!$G$3,'Modelos de TES'!$K$3))/((1+'Modelos de TES'!$I$3)^('Base de datos '!G67/365))</f>
        <v>620293.64987683611</v>
      </c>
      <c r="I67" s="36">
        <f>IF('Modelos de TES'!$J$3&gt;='Base de datos '!E67,'Base de datos '!H67,0)</f>
        <v>0</v>
      </c>
    </row>
    <row r="68" spans="5:9" x14ac:dyDescent="0.3">
      <c r="E68" s="13">
        <f t="shared" si="3"/>
        <v>66</v>
      </c>
      <c r="F68" s="14" t="e">
        <f t="shared" si="2"/>
        <v>#NUM!</v>
      </c>
      <c r="G68" s="33">
        <f t="shared" si="1"/>
        <v>23943</v>
      </c>
      <c r="H68" s="34">
        <f>(IF('Modelos de TES'!$J$3='Base de datos '!E68,'Modelos de TES'!$K$3+'Modelos de TES'!$G$3,'Modelos de TES'!$K$3))/((1+'Modelos de TES'!$I$3)^('Base de datos '!G68/365))</f>
        <v>590755.85702555825</v>
      </c>
      <c r="I68" s="36">
        <f>IF('Modelos de TES'!$J$3&gt;='Base de datos '!E68,'Base de datos '!H68,0)</f>
        <v>0</v>
      </c>
    </row>
    <row r="69" spans="5:9" x14ac:dyDescent="0.3">
      <c r="E69" s="13">
        <f t="shared" si="3"/>
        <v>67</v>
      </c>
      <c r="F69" s="14" t="e">
        <f t="shared" si="2"/>
        <v>#NUM!</v>
      </c>
      <c r="G69" s="33">
        <f t="shared" ref="G69:G132" si="4">G68+365</f>
        <v>24308</v>
      </c>
      <c r="H69" s="34">
        <f>(IF('Modelos de TES'!$J$3='Base de datos '!E69,'Modelos de TES'!$K$3+'Modelos de TES'!$G$3,'Modelos de TES'!$K$3))/((1+'Modelos de TES'!$I$3)^('Base de datos '!G69/365))</f>
        <v>562624.62573862704</v>
      </c>
      <c r="I69" s="36">
        <f>IF('Modelos de TES'!$J$3&gt;='Base de datos '!E69,'Base de datos '!H69,0)</f>
        <v>0</v>
      </c>
    </row>
    <row r="70" spans="5:9" x14ac:dyDescent="0.3">
      <c r="E70" s="13">
        <f t="shared" si="3"/>
        <v>68</v>
      </c>
      <c r="F70" s="14" t="e">
        <f t="shared" si="2"/>
        <v>#NUM!</v>
      </c>
      <c r="G70" s="33">
        <f t="shared" si="4"/>
        <v>24673</v>
      </c>
      <c r="H70" s="34">
        <f>(IF('Modelos de TES'!$J$3='Base de datos '!E70,'Modelos de TES'!$K$3+'Modelos de TES'!$G$3,'Modelos de TES'!$K$3))/((1+'Modelos de TES'!$I$3)^('Base de datos '!G70/365))</f>
        <v>535832.97689393035</v>
      </c>
      <c r="I70" s="36">
        <f>IF('Modelos de TES'!$J$3&gt;='Base de datos '!E70,'Base de datos '!H70,0)</f>
        <v>0</v>
      </c>
    </row>
    <row r="71" spans="5:9" x14ac:dyDescent="0.3">
      <c r="E71" s="13">
        <f t="shared" si="3"/>
        <v>69</v>
      </c>
      <c r="F71" s="14" t="e">
        <f t="shared" si="2"/>
        <v>#NUM!</v>
      </c>
      <c r="G71" s="33">
        <f t="shared" si="4"/>
        <v>25038</v>
      </c>
      <c r="H71" s="34">
        <f>(IF('Modelos de TES'!$J$3='Base de datos '!E71,'Modelos de TES'!$K$3+'Modelos de TES'!$G$3,'Modelos de TES'!$K$3))/((1+'Modelos de TES'!$I$3)^('Base de datos '!G71/365))</f>
        <v>510317.12085136218</v>
      </c>
      <c r="I71" s="36">
        <f>IF('Modelos de TES'!$J$3&gt;='Base de datos '!E71,'Base de datos '!H71,0)</f>
        <v>0</v>
      </c>
    </row>
    <row r="72" spans="5:9" x14ac:dyDescent="0.3">
      <c r="E72" s="13">
        <f t="shared" si="3"/>
        <v>70</v>
      </c>
      <c r="F72" s="14" t="e">
        <f t="shared" si="2"/>
        <v>#NUM!</v>
      </c>
      <c r="G72" s="33">
        <f t="shared" si="4"/>
        <v>25403</v>
      </c>
      <c r="H72" s="34">
        <f>(IF('Modelos de TES'!$J$3='Base de datos '!E72,'Modelos de TES'!$K$3+'Modelos de TES'!$G$3,'Modelos de TES'!$K$3))/((1+'Modelos de TES'!$I$3)^('Base de datos '!G72/365))</f>
        <v>486016.30557272583</v>
      </c>
      <c r="I72" s="36">
        <f>IF('Modelos de TES'!$J$3&gt;='Base de datos '!E72,'Base de datos '!H72,0)</f>
        <v>0</v>
      </c>
    </row>
    <row r="73" spans="5:9" x14ac:dyDescent="0.3">
      <c r="E73" s="13">
        <f t="shared" si="3"/>
        <v>71</v>
      </c>
      <c r="F73" s="14" t="e">
        <f t="shared" si="2"/>
        <v>#NUM!</v>
      </c>
      <c r="G73" s="33">
        <f t="shared" si="4"/>
        <v>25768</v>
      </c>
      <c r="H73" s="34">
        <f>(IF('Modelos de TES'!$J$3='Base de datos '!E73,'Modelos de TES'!$K$3+'Modelos de TES'!$G$3,'Modelos de TES'!$K$3))/((1+'Modelos de TES'!$I$3)^('Base de datos '!G73/365))</f>
        <v>462872.67197402474</v>
      </c>
      <c r="I73" s="36">
        <f>IF('Modelos de TES'!$J$3&gt;='Base de datos '!E73,'Base de datos '!H73,0)</f>
        <v>0</v>
      </c>
    </row>
    <row r="74" spans="5:9" x14ac:dyDescent="0.3">
      <c r="E74" s="13">
        <f t="shared" si="3"/>
        <v>72</v>
      </c>
      <c r="F74" s="14" t="e">
        <f t="shared" si="2"/>
        <v>#NUM!</v>
      </c>
      <c r="G74" s="33">
        <f t="shared" si="4"/>
        <v>26133</v>
      </c>
      <c r="H74" s="34">
        <f>(IF('Modelos de TES'!$J$3='Base de datos '!E74,'Modelos de TES'!$K$3+'Modelos de TES'!$G$3,'Modelos de TES'!$K$3))/((1+'Modelos de TES'!$I$3)^('Base de datos '!G74/365))</f>
        <v>440831.1161657378</v>
      </c>
      <c r="I74" s="36">
        <f>IF('Modelos de TES'!$J$3&gt;='Base de datos '!E74,'Base de datos '!H74,0)</f>
        <v>0</v>
      </c>
    </row>
    <row r="75" spans="5:9" x14ac:dyDescent="0.3">
      <c r="E75" s="13">
        <f t="shared" si="3"/>
        <v>73</v>
      </c>
      <c r="F75" s="14" t="e">
        <f t="shared" si="2"/>
        <v>#NUM!</v>
      </c>
      <c r="G75" s="33">
        <f t="shared" si="4"/>
        <v>26498</v>
      </c>
      <c r="H75" s="34">
        <f>(IF('Modelos de TES'!$J$3='Base de datos '!E75,'Modelos de TES'!$K$3+'Modelos de TES'!$G$3,'Modelos de TES'!$K$3))/((1+'Modelos de TES'!$I$3)^('Base de datos '!G75/365))</f>
        <v>419839.15825308347</v>
      </c>
      <c r="I75" s="36">
        <f>IF('Modelos de TES'!$J$3&gt;='Base de datos '!E75,'Base de datos '!H75,0)</f>
        <v>0</v>
      </c>
    </row>
    <row r="76" spans="5:9" x14ac:dyDescent="0.3">
      <c r="E76" s="13">
        <f t="shared" si="3"/>
        <v>74</v>
      </c>
      <c r="F76" s="14" t="e">
        <f t="shared" si="2"/>
        <v>#NUM!</v>
      </c>
      <c r="G76" s="33">
        <f t="shared" si="4"/>
        <v>26863</v>
      </c>
      <c r="H76" s="34">
        <f>(IF('Modelos de TES'!$J$3='Base de datos '!E76,'Modelos de TES'!$K$3+'Modelos de TES'!$G$3,'Modelos de TES'!$K$3))/((1+'Modelos de TES'!$I$3)^('Base de datos '!G76/365))</f>
        <v>399846.81738388899</v>
      </c>
      <c r="I76" s="36">
        <f>IF('Modelos de TES'!$J$3&gt;='Base de datos '!E76,'Base de datos '!H76,0)</f>
        <v>0</v>
      </c>
    </row>
    <row r="77" spans="5:9" x14ac:dyDescent="0.3">
      <c r="E77" s="13">
        <f t="shared" si="3"/>
        <v>75</v>
      </c>
      <c r="F77" s="14" t="e">
        <f t="shared" ref="F77:F140" si="5">COUPNCD(F76,$D$2,1,3)</f>
        <v>#NUM!</v>
      </c>
      <c r="G77" s="33">
        <f t="shared" si="4"/>
        <v>27228</v>
      </c>
      <c r="H77" s="34">
        <f>(IF('Modelos de TES'!$J$3='Base de datos '!E77,'Modelos de TES'!$K$3+'Modelos de TES'!$G$3,'Modelos de TES'!$K$3))/((1+'Modelos de TES'!$I$3)^('Base de datos '!G77/365))</f>
        <v>380806.49274656107</v>
      </c>
      <c r="I77" s="36">
        <f>IF('Modelos de TES'!$J$3&gt;='Base de datos '!E77,'Base de datos '!H77,0)</f>
        <v>0</v>
      </c>
    </row>
    <row r="78" spans="5:9" x14ac:dyDescent="0.3">
      <c r="E78" s="13">
        <f t="shared" ref="E78:E141" si="6">E77+1</f>
        <v>76</v>
      </c>
      <c r="F78" s="14" t="e">
        <f t="shared" si="5"/>
        <v>#NUM!</v>
      </c>
      <c r="G78" s="33">
        <f t="shared" si="4"/>
        <v>27593</v>
      </c>
      <c r="H78" s="34">
        <f>(IF('Modelos de TES'!$J$3='Base de datos '!E78,'Modelos de TES'!$K$3+'Modelos de TES'!$G$3,'Modelos de TES'!$K$3))/((1+'Modelos de TES'!$I$3)^('Base de datos '!G78/365))</f>
        <v>362672.85023481998</v>
      </c>
      <c r="I78" s="36">
        <f>IF('Modelos de TES'!$J$3&gt;='Base de datos '!E78,'Base de datos '!H78,0)</f>
        <v>0</v>
      </c>
    </row>
    <row r="79" spans="5:9" x14ac:dyDescent="0.3">
      <c r="E79" s="13">
        <f t="shared" si="6"/>
        <v>77</v>
      </c>
      <c r="F79" s="14" t="e">
        <f t="shared" si="5"/>
        <v>#NUM!</v>
      </c>
      <c r="G79" s="33">
        <f t="shared" si="4"/>
        <v>27958</v>
      </c>
      <c r="H79" s="34">
        <f>(IF('Modelos de TES'!$J$3='Base de datos '!E79,'Modelos de TES'!$K$3+'Modelos de TES'!$G$3,'Modelos de TES'!$K$3))/((1+'Modelos de TES'!$I$3)^('Base de datos '!G79/365))</f>
        <v>345402.71450935234</v>
      </c>
      <c r="I79" s="36">
        <f>IF('Modelos de TES'!$J$3&gt;='Base de datos '!E79,'Base de datos '!H79,0)</f>
        <v>0</v>
      </c>
    </row>
    <row r="80" spans="5:9" x14ac:dyDescent="0.3">
      <c r="E80" s="13">
        <f t="shared" si="6"/>
        <v>78</v>
      </c>
      <c r="F80" s="14" t="e">
        <f t="shared" si="5"/>
        <v>#NUM!</v>
      </c>
      <c r="G80" s="33">
        <f t="shared" si="4"/>
        <v>28323</v>
      </c>
      <c r="H80" s="34">
        <f>(IF('Modelos de TES'!$J$3='Base de datos '!E80,'Modelos de TES'!$K$3+'Modelos de TES'!$G$3,'Modelos de TES'!$K$3))/((1+'Modelos de TES'!$I$3)^('Base de datos '!G80/365))</f>
        <v>328954.96619938314</v>
      </c>
      <c r="I80" s="36">
        <f>IF('Modelos de TES'!$J$3&gt;='Base de datos '!E80,'Base de datos '!H80,0)</f>
        <v>0</v>
      </c>
    </row>
    <row r="81" spans="5:9" x14ac:dyDescent="0.3">
      <c r="E81" s="13">
        <f t="shared" si="6"/>
        <v>79</v>
      </c>
      <c r="F81" s="14" t="e">
        <f t="shared" si="5"/>
        <v>#NUM!</v>
      </c>
      <c r="G81" s="33">
        <f t="shared" si="4"/>
        <v>28688</v>
      </c>
      <c r="H81" s="34">
        <f>(IF('Modelos de TES'!$J$3='Base de datos '!E81,'Modelos de TES'!$K$3+'Modelos de TES'!$G$3,'Modelos de TES'!$K$3))/((1+'Modelos de TES'!$I$3)^('Base de datos '!G81/365))</f>
        <v>313290.44399941259</v>
      </c>
      <c r="I81" s="36">
        <f>IF('Modelos de TES'!$J$3&gt;='Base de datos '!E81,'Base de datos '!H81,0)</f>
        <v>0</v>
      </c>
    </row>
    <row r="82" spans="5:9" x14ac:dyDescent="0.3">
      <c r="E82" s="13">
        <f t="shared" si="6"/>
        <v>80</v>
      </c>
      <c r="F82" s="14" t="e">
        <f t="shared" si="5"/>
        <v>#NUM!</v>
      </c>
      <c r="G82" s="33">
        <f t="shared" si="4"/>
        <v>29053</v>
      </c>
      <c r="H82" s="34">
        <f>(IF('Modelos de TES'!$J$3='Base de datos '!E82,'Modelos de TES'!$K$3+'Modelos de TES'!$G$3,'Modelos de TES'!$K$3))/((1+'Modelos de TES'!$I$3)^('Base de datos '!G82/365))</f>
        <v>298371.85142801196</v>
      </c>
      <c r="I82" s="36">
        <f>IF('Modelos de TES'!$J$3&gt;='Base de datos '!E82,'Base de datos '!H82,0)</f>
        <v>0</v>
      </c>
    </row>
    <row r="83" spans="5:9" x14ac:dyDescent="0.3">
      <c r="E83" s="13">
        <f t="shared" si="6"/>
        <v>81</v>
      </c>
      <c r="F83" s="14" t="e">
        <f t="shared" si="5"/>
        <v>#NUM!</v>
      </c>
      <c r="G83" s="33">
        <f t="shared" si="4"/>
        <v>29418</v>
      </c>
      <c r="H83" s="34">
        <f>(IF('Modelos de TES'!$J$3='Base de datos '!E83,'Modelos de TES'!$K$3+'Modelos de TES'!$G$3,'Modelos de TES'!$K$3))/((1+'Modelos de TES'!$I$3)^('Base de datos '!G83/365))</f>
        <v>284163.66802667797</v>
      </c>
      <c r="I83" s="36">
        <f>IF('Modelos de TES'!$J$3&gt;='Base de datos '!E83,'Base de datos '!H83,0)</f>
        <v>0</v>
      </c>
    </row>
    <row r="84" spans="5:9" x14ac:dyDescent="0.3">
      <c r="E84" s="13">
        <f t="shared" si="6"/>
        <v>82</v>
      </c>
      <c r="F84" s="14" t="e">
        <f t="shared" si="5"/>
        <v>#NUM!</v>
      </c>
      <c r="G84" s="33">
        <f t="shared" si="4"/>
        <v>29783</v>
      </c>
      <c r="H84" s="34">
        <f>(IF('Modelos de TES'!$J$3='Base de datos '!E84,'Modelos de TES'!$K$3+'Modelos de TES'!$G$3,'Modelos de TES'!$K$3))/((1+'Modelos de TES'!$I$3)^('Base de datos '!G84/365))</f>
        <v>270632.06478731235</v>
      </c>
      <c r="I84" s="36">
        <f>IF('Modelos de TES'!$J$3&gt;='Base de datos '!E84,'Base de datos '!H84,0)</f>
        <v>0</v>
      </c>
    </row>
    <row r="85" spans="5:9" x14ac:dyDescent="0.3">
      <c r="E85" s="13">
        <f t="shared" si="6"/>
        <v>83</v>
      </c>
      <c r="F85" s="14" t="e">
        <f t="shared" si="5"/>
        <v>#NUM!</v>
      </c>
      <c r="G85" s="33">
        <f t="shared" si="4"/>
        <v>30148</v>
      </c>
      <c r="H85" s="34">
        <f>(IF('Modelos de TES'!$J$3='Base de datos '!E85,'Modelos de TES'!$K$3+'Modelos de TES'!$G$3,'Modelos de TES'!$K$3))/((1+'Modelos de TES'!$I$3)^('Base de datos '!G85/365))</f>
        <v>257744.8236069642</v>
      </c>
      <c r="I85" s="36">
        <f>IF('Modelos de TES'!$J$3&gt;='Base de datos '!E85,'Base de datos '!H85,0)</f>
        <v>0</v>
      </c>
    </row>
    <row r="86" spans="5:9" x14ac:dyDescent="0.3">
      <c r="E86" s="13">
        <f t="shared" si="6"/>
        <v>84</v>
      </c>
      <c r="F86" s="14" t="e">
        <f t="shared" si="5"/>
        <v>#NUM!</v>
      </c>
      <c r="G86" s="33">
        <f t="shared" si="4"/>
        <v>30513</v>
      </c>
      <c r="H86" s="34">
        <f>(IF('Modelos de TES'!$J$3='Base de datos '!E86,'Modelos de TES'!$K$3+'Modelos de TES'!$G$3,'Modelos de TES'!$K$3))/((1+'Modelos de TES'!$I$3)^('Base de datos '!G86/365))</f>
        <v>245471.2605780611</v>
      </c>
      <c r="I86" s="36">
        <f>IF('Modelos de TES'!$J$3&gt;='Base de datos '!E86,'Base de datos '!H86,0)</f>
        <v>0</v>
      </c>
    </row>
    <row r="87" spans="5:9" x14ac:dyDescent="0.3">
      <c r="E87" s="13">
        <f t="shared" si="6"/>
        <v>85</v>
      </c>
      <c r="F87" s="14" t="e">
        <f t="shared" si="5"/>
        <v>#NUM!</v>
      </c>
      <c r="G87" s="33">
        <f t="shared" si="4"/>
        <v>30878</v>
      </c>
      <c r="H87" s="34">
        <f>(IF('Modelos de TES'!$J$3='Base de datos '!E87,'Modelos de TES'!$K$3+'Modelos de TES'!$G$3,'Modelos de TES'!$K$3))/((1+'Modelos de TES'!$I$3)^('Base de datos '!G87/365))</f>
        <v>233782.15293148672</v>
      </c>
      <c r="I87" s="36">
        <f>IF('Modelos de TES'!$J$3&gt;='Base de datos '!E87,'Base de datos '!H87,0)</f>
        <v>0</v>
      </c>
    </row>
    <row r="88" spans="5:9" x14ac:dyDescent="0.3">
      <c r="E88" s="13">
        <f t="shared" si="6"/>
        <v>86</v>
      </c>
      <c r="F88" s="14" t="e">
        <f t="shared" si="5"/>
        <v>#NUM!</v>
      </c>
      <c r="G88" s="33">
        <f t="shared" si="4"/>
        <v>31243</v>
      </c>
      <c r="H88" s="34">
        <f>(IF('Modelos de TES'!$J$3='Base de datos '!E88,'Modelos de TES'!$K$3+'Modelos de TES'!$G$3,'Modelos de TES'!$K$3))/((1+'Modelos de TES'!$I$3)^('Base de datos '!G88/365))</f>
        <v>222649.66945855878</v>
      </c>
      <c r="I88" s="36">
        <f>IF('Modelos de TES'!$J$3&gt;='Base de datos '!E88,'Base de datos '!H88,0)</f>
        <v>0</v>
      </c>
    </row>
    <row r="89" spans="5:9" x14ac:dyDescent="0.3">
      <c r="E89" s="13">
        <f t="shared" si="6"/>
        <v>87</v>
      </c>
      <c r="F89" s="14" t="e">
        <f t="shared" si="5"/>
        <v>#NUM!</v>
      </c>
      <c r="G89" s="33">
        <f t="shared" si="4"/>
        <v>31608</v>
      </c>
      <c r="H89" s="34">
        <f>(IF('Modelos de TES'!$J$3='Base de datos '!E89,'Modelos de TES'!$K$3+'Modelos de TES'!$G$3,'Modelos de TES'!$K$3))/((1+'Modelos de TES'!$I$3)^('Base de datos '!G89/365))</f>
        <v>212047.30424624641</v>
      </c>
      <c r="I89" s="36">
        <f>IF('Modelos de TES'!$J$3&gt;='Base de datos '!E89,'Base de datos '!H89,0)</f>
        <v>0</v>
      </c>
    </row>
    <row r="90" spans="5:9" x14ac:dyDescent="0.3">
      <c r="E90" s="13">
        <f t="shared" si="6"/>
        <v>88</v>
      </c>
      <c r="F90" s="14" t="e">
        <f t="shared" si="5"/>
        <v>#NUM!</v>
      </c>
      <c r="G90" s="33">
        <f t="shared" si="4"/>
        <v>31973</v>
      </c>
      <c r="H90" s="34">
        <f>(IF('Modelos de TES'!$J$3='Base de datos '!E90,'Modelos de TES'!$K$3+'Modelos de TES'!$G$3,'Modelos de TES'!$K$3))/((1+'Modelos de TES'!$I$3)^('Base de datos '!G90/365))</f>
        <v>201949.81356785371</v>
      </c>
      <c r="I90" s="36">
        <f>IF('Modelos de TES'!$J$3&gt;='Base de datos '!E90,'Base de datos '!H90,0)</f>
        <v>0</v>
      </c>
    </row>
    <row r="91" spans="5:9" x14ac:dyDescent="0.3">
      <c r="E91" s="13">
        <f t="shared" si="6"/>
        <v>89</v>
      </c>
      <c r="F91" s="14" t="e">
        <f t="shared" si="5"/>
        <v>#NUM!</v>
      </c>
      <c r="G91" s="33">
        <f t="shared" si="4"/>
        <v>32338</v>
      </c>
      <c r="H91" s="34">
        <f>(IF('Modelos de TES'!$J$3='Base de datos '!E91,'Modelos de TES'!$K$3+'Modelos de TES'!$G$3,'Modelos de TES'!$K$3))/((1+'Modelos de TES'!$I$3)^('Base de datos '!G91/365))</f>
        <v>192333.1557789084</v>
      </c>
      <c r="I91" s="36">
        <f>IF('Modelos de TES'!$J$3&gt;='Base de datos '!E91,'Base de datos '!H91,0)</f>
        <v>0</v>
      </c>
    </row>
    <row r="92" spans="5:9" x14ac:dyDescent="0.3">
      <c r="E92" s="13">
        <f t="shared" si="6"/>
        <v>90</v>
      </c>
      <c r="F92" s="14" t="e">
        <f t="shared" si="5"/>
        <v>#NUM!</v>
      </c>
      <c r="G92" s="33">
        <f t="shared" si="4"/>
        <v>32703</v>
      </c>
      <c r="H92" s="34">
        <f>(IF('Modelos de TES'!$J$3='Base de datos '!E92,'Modelos de TES'!$K$3+'Modelos de TES'!$G$3,'Modelos de TES'!$K$3))/((1+'Modelos de TES'!$I$3)^('Base de datos '!G92/365))</f>
        <v>183174.43407515081</v>
      </c>
      <c r="I92" s="36">
        <f>IF('Modelos de TES'!$J$3&gt;='Base de datos '!E92,'Base de datos '!H92,0)</f>
        <v>0</v>
      </c>
    </row>
    <row r="93" spans="5:9" x14ac:dyDescent="0.3">
      <c r="E93" s="13">
        <f t="shared" si="6"/>
        <v>91</v>
      </c>
      <c r="F93" s="14" t="e">
        <f t="shared" si="5"/>
        <v>#NUM!</v>
      </c>
      <c r="G93" s="33">
        <f t="shared" si="4"/>
        <v>33068</v>
      </c>
      <c r="H93" s="34">
        <f>(IF('Modelos de TES'!$J$3='Base de datos '!E93,'Modelos de TES'!$K$3+'Modelos de TES'!$G$3,'Modelos de TES'!$K$3))/((1+'Modelos de TES'!$I$3)^('Base de datos '!G93/365))</f>
        <v>174451.84197633411</v>
      </c>
      <c r="I93" s="36">
        <f>IF('Modelos de TES'!$J$3&gt;='Base de datos '!E93,'Base de datos '!H93,0)</f>
        <v>0</v>
      </c>
    </row>
    <row r="94" spans="5:9" x14ac:dyDescent="0.3">
      <c r="E94" s="13">
        <f t="shared" si="6"/>
        <v>92</v>
      </c>
      <c r="F94" s="14" t="e">
        <f t="shared" si="5"/>
        <v>#NUM!</v>
      </c>
      <c r="G94" s="33">
        <f t="shared" si="4"/>
        <v>33433</v>
      </c>
      <c r="H94" s="34">
        <f>(IF('Modelos de TES'!$J$3='Base de datos '!E94,'Modelos de TES'!$K$3+'Modelos de TES'!$G$3,'Modelos de TES'!$K$3))/((1+'Modelos de TES'!$I$3)^('Base de datos '!G94/365))</f>
        <v>166144.61140603246</v>
      </c>
      <c r="I94" s="36">
        <f>IF('Modelos de TES'!$J$3&gt;='Base de datos '!E94,'Base de datos '!H94,0)</f>
        <v>0</v>
      </c>
    </row>
    <row r="95" spans="5:9" x14ac:dyDescent="0.3">
      <c r="E95" s="13">
        <f t="shared" si="6"/>
        <v>93</v>
      </c>
      <c r="F95" s="14" t="e">
        <f t="shared" si="5"/>
        <v>#NUM!</v>
      </c>
      <c r="G95" s="33">
        <f t="shared" si="4"/>
        <v>33798</v>
      </c>
      <c r="H95" s="34">
        <f>(IF('Modelos de TES'!$J$3='Base de datos '!E95,'Modelos de TES'!$K$3+'Modelos de TES'!$G$3,'Modelos de TES'!$K$3))/((1+'Modelos de TES'!$I$3)^('Base de datos '!G95/365))</f>
        <v>158232.96324384041</v>
      </c>
      <c r="I95" s="36">
        <f>IF('Modelos de TES'!$J$3&gt;='Base de datos '!E95,'Base de datos '!H95,0)</f>
        <v>0</v>
      </c>
    </row>
    <row r="96" spans="5:9" x14ac:dyDescent="0.3">
      <c r="E96" s="13">
        <f t="shared" si="6"/>
        <v>94</v>
      </c>
      <c r="F96" s="14" t="e">
        <f t="shared" si="5"/>
        <v>#NUM!</v>
      </c>
      <c r="G96" s="33">
        <f t="shared" si="4"/>
        <v>34163</v>
      </c>
      <c r="H96" s="34">
        <f>(IF('Modelos de TES'!$J$3='Base de datos '!E96,'Modelos de TES'!$K$3+'Modelos de TES'!$G$3,'Modelos de TES'!$K$3))/((1+'Modelos de TES'!$I$3)^('Base de datos '!G96/365))</f>
        <v>150698.06023222895</v>
      </c>
      <c r="I96" s="36">
        <f>IF('Modelos de TES'!$J$3&gt;='Base de datos '!E96,'Base de datos '!H96,0)</f>
        <v>0</v>
      </c>
    </row>
    <row r="97" spans="5:9" x14ac:dyDescent="0.3">
      <c r="E97" s="13">
        <f t="shared" si="6"/>
        <v>95</v>
      </c>
      <c r="F97" s="14" t="e">
        <f t="shared" si="5"/>
        <v>#NUM!</v>
      </c>
      <c r="G97" s="33">
        <f t="shared" si="4"/>
        <v>34528</v>
      </c>
      <c r="H97" s="34">
        <f>(IF('Modelos de TES'!$J$3='Base de datos '!E97,'Modelos de TES'!$K$3+'Modelos de TES'!$G$3,'Modelos de TES'!$K$3))/((1+'Modelos de TES'!$I$3)^('Base de datos '!G97/365))</f>
        <v>143521.9621259323</v>
      </c>
      <c r="I97" s="36">
        <f>IF('Modelos de TES'!$J$3&gt;='Base de datos '!E97,'Base de datos '!H97,0)</f>
        <v>0</v>
      </c>
    </row>
    <row r="98" spans="5:9" x14ac:dyDescent="0.3">
      <c r="E98" s="13">
        <f t="shared" si="6"/>
        <v>96</v>
      </c>
      <c r="F98" s="14" t="e">
        <f t="shared" si="5"/>
        <v>#NUM!</v>
      </c>
      <c r="G98" s="33">
        <f t="shared" si="4"/>
        <v>34893</v>
      </c>
      <c r="H98" s="34">
        <f>(IF('Modelos de TES'!$J$3='Base de datos '!E98,'Modelos de TES'!$K$3+'Modelos de TES'!$G$3,'Modelos de TES'!$K$3))/((1+'Modelos de TES'!$I$3)^('Base de datos '!G98/365))</f>
        <v>136687.58297707836</v>
      </c>
      <c r="I98" s="36">
        <f>IF('Modelos de TES'!$J$3&gt;='Base de datos '!E98,'Base de datos '!H98,0)</f>
        <v>0</v>
      </c>
    </row>
    <row r="99" spans="5:9" x14ac:dyDescent="0.3">
      <c r="E99" s="13">
        <f t="shared" si="6"/>
        <v>97</v>
      </c>
      <c r="F99" s="14" t="e">
        <f t="shared" si="5"/>
        <v>#NUM!</v>
      </c>
      <c r="G99" s="33">
        <f t="shared" si="4"/>
        <v>35258</v>
      </c>
      <c r="H99" s="34">
        <f>(IF('Modelos de TES'!$J$3='Base de datos '!E99,'Modelos de TES'!$K$3+'Modelos de TES'!$G$3,'Modelos de TES'!$K$3))/((1+'Modelos de TES'!$I$3)^('Base de datos '!G99/365))</f>
        <v>130178.65045436044</v>
      </c>
      <c r="I99" s="36">
        <f>IF('Modelos de TES'!$J$3&gt;='Base de datos '!E99,'Base de datos '!H99,0)</f>
        <v>0</v>
      </c>
    </row>
    <row r="100" spans="5:9" x14ac:dyDescent="0.3">
      <c r="E100" s="13">
        <f t="shared" si="6"/>
        <v>98</v>
      </c>
      <c r="F100" s="14" t="e">
        <f t="shared" si="5"/>
        <v>#NUM!</v>
      </c>
      <c r="G100" s="33">
        <f t="shared" si="4"/>
        <v>35623</v>
      </c>
      <c r="H100" s="34">
        <f>(IF('Modelos de TES'!$J$3='Base de datos '!E100,'Modelos de TES'!$K$3+'Modelos de TES'!$G$3,'Modelos de TES'!$K$3))/((1+'Modelos de TES'!$I$3)^('Base de datos '!G100/365))</f>
        <v>123979.66709939088</v>
      </c>
      <c r="I100" s="36">
        <f>IF('Modelos de TES'!$J$3&gt;='Base de datos '!E100,'Base de datos '!H100,0)</f>
        <v>0</v>
      </c>
    </row>
    <row r="101" spans="5:9" x14ac:dyDescent="0.3">
      <c r="E101" s="13">
        <f t="shared" si="6"/>
        <v>99</v>
      </c>
      <c r="F101" s="14" t="e">
        <f t="shared" si="5"/>
        <v>#NUM!</v>
      </c>
      <c r="G101" s="33">
        <f t="shared" si="4"/>
        <v>35988</v>
      </c>
      <c r="H101" s="34">
        <f>(IF('Modelos de TES'!$J$3='Base de datos '!E101,'Modelos de TES'!$K$3+'Modelos de TES'!$G$3,'Modelos de TES'!$K$3))/((1+'Modelos de TES'!$I$3)^('Base de datos '!G101/365))</f>
        <v>118075.87342799129</v>
      </c>
      <c r="I101" s="36">
        <f>IF('Modelos de TES'!$J$3&gt;='Base de datos '!E101,'Base de datos '!H101,0)</f>
        <v>0</v>
      </c>
    </row>
    <row r="102" spans="5:9" x14ac:dyDescent="0.3">
      <c r="E102" s="13">
        <f t="shared" si="6"/>
        <v>100</v>
      </c>
      <c r="F102" s="14" t="e">
        <f t="shared" si="5"/>
        <v>#NUM!</v>
      </c>
      <c r="G102" s="33">
        <f t="shared" si="4"/>
        <v>36353</v>
      </c>
      <c r="H102" s="34">
        <f>(IF('Modelos de TES'!$J$3='Base de datos '!E102,'Modelos de TES'!$K$3+'Modelos de TES'!$G$3,'Modelos de TES'!$K$3))/((1+'Modelos de TES'!$I$3)^('Base de datos '!G102/365))</f>
        <v>112453.21278856312</v>
      </c>
      <c r="I102" s="36">
        <f>IF('Modelos de TES'!$J$3&gt;='Base de datos '!E102,'Base de datos '!H102,0)</f>
        <v>0</v>
      </c>
    </row>
    <row r="103" spans="5:9" x14ac:dyDescent="0.3">
      <c r="E103" s="13">
        <f t="shared" si="6"/>
        <v>101</v>
      </c>
      <c r="F103" s="14" t="e">
        <f t="shared" si="5"/>
        <v>#NUM!</v>
      </c>
      <c r="G103" s="33">
        <f t="shared" si="4"/>
        <v>36718</v>
      </c>
      <c r="H103" s="34">
        <f>(IF('Modelos de TES'!$J$3='Base de datos '!E103,'Modelos de TES'!$K$3+'Modelos de TES'!$G$3,'Modelos de TES'!$K$3))/((1+'Modelos de TES'!$I$3)^('Base de datos '!G103/365))</f>
        <v>107098.29789386962</v>
      </c>
      <c r="I103" s="36">
        <f>IF('Modelos de TES'!$J$3&gt;='Base de datos '!E103,'Base de datos '!H103,0)</f>
        <v>0</v>
      </c>
    </row>
    <row r="104" spans="5:9" x14ac:dyDescent="0.3">
      <c r="E104" s="13">
        <f t="shared" si="6"/>
        <v>102</v>
      </c>
      <c r="F104" s="14" t="e">
        <f t="shared" si="5"/>
        <v>#NUM!</v>
      </c>
      <c r="G104" s="33">
        <f t="shared" si="4"/>
        <v>37083</v>
      </c>
      <c r="H104" s="34">
        <f>(IF('Modelos de TES'!$J$3='Base de datos '!E104,'Modelos de TES'!$K$3+'Modelos de TES'!$G$3,'Modelos de TES'!$K$3))/((1+'Modelos de TES'!$I$3)^('Base de datos '!G104/365))</f>
        <v>101998.37894654248</v>
      </c>
      <c r="I104" s="36">
        <f>IF('Modelos de TES'!$J$3&gt;='Base de datos '!E104,'Base de datos '!H104,0)</f>
        <v>0</v>
      </c>
    </row>
    <row r="105" spans="5:9" x14ac:dyDescent="0.3">
      <c r="E105" s="13">
        <f t="shared" si="6"/>
        <v>103</v>
      </c>
      <c r="F105" s="14" t="e">
        <f t="shared" si="5"/>
        <v>#NUM!</v>
      </c>
      <c r="G105" s="33">
        <f t="shared" si="4"/>
        <v>37448</v>
      </c>
      <c r="H105" s="34">
        <f>(IF('Modelos de TES'!$J$3='Base de datos '!E105,'Modelos de TES'!$K$3+'Modelos de TES'!$G$3,'Modelos de TES'!$K$3))/((1+'Modelos de TES'!$I$3)^('Base de datos '!G105/365))</f>
        <v>97141.313282421383</v>
      </c>
      <c r="I105" s="36">
        <f>IF('Modelos de TES'!$J$3&gt;='Base de datos '!E105,'Base de datos '!H105,0)</f>
        <v>0</v>
      </c>
    </row>
    <row r="106" spans="5:9" x14ac:dyDescent="0.3">
      <c r="E106" s="13">
        <f t="shared" si="6"/>
        <v>104</v>
      </c>
      <c r="F106" s="14" t="e">
        <f t="shared" si="5"/>
        <v>#NUM!</v>
      </c>
      <c r="G106" s="33">
        <f t="shared" si="4"/>
        <v>37813</v>
      </c>
      <c r="H106" s="34">
        <f>(IF('Modelos de TES'!$J$3='Base de datos '!E106,'Modelos de TES'!$K$3+'Modelos de TES'!$G$3,'Modelos de TES'!$K$3))/((1+'Modelos de TES'!$I$3)^('Base de datos '!G106/365))</f>
        <v>92515.536459448922</v>
      </c>
      <c r="I106" s="36">
        <f>IF('Modelos de TES'!$J$3&gt;='Base de datos '!E106,'Base de datos '!H106,0)</f>
        <v>0</v>
      </c>
    </row>
    <row r="107" spans="5:9" x14ac:dyDescent="0.3">
      <c r="E107" s="13">
        <f t="shared" si="6"/>
        <v>105</v>
      </c>
      <c r="F107" s="14" t="e">
        <f t="shared" si="5"/>
        <v>#NUM!</v>
      </c>
      <c r="G107" s="33">
        <f t="shared" si="4"/>
        <v>38178</v>
      </c>
      <c r="H107" s="34">
        <f>(IF('Modelos de TES'!$J$3='Base de datos '!E107,'Modelos de TES'!$K$3+'Modelos de TES'!$G$3,'Modelos de TES'!$K$3))/((1+'Modelos de TES'!$I$3)^('Base de datos '!G107/365))</f>
        <v>88110.034723284756</v>
      </c>
      <c r="I107" s="36">
        <f>IF('Modelos de TES'!$J$3&gt;='Base de datos '!E107,'Base de datos '!H107,0)</f>
        <v>0</v>
      </c>
    </row>
    <row r="108" spans="5:9" x14ac:dyDescent="0.3">
      <c r="E108" s="13">
        <f t="shared" si="6"/>
        <v>106</v>
      </c>
      <c r="F108" s="14" t="e">
        <f t="shared" si="5"/>
        <v>#NUM!</v>
      </c>
      <c r="G108" s="33">
        <f t="shared" si="4"/>
        <v>38543</v>
      </c>
      <c r="H108" s="34">
        <f>(IF('Modelos de TES'!$J$3='Base de datos '!E108,'Modelos de TES'!$K$3+'Modelos de TES'!$G$3,'Modelos de TES'!$K$3))/((1+'Modelos de TES'!$I$3)^('Base de datos '!G108/365))</f>
        <v>83914.318784080708</v>
      </c>
      <c r="I108" s="36">
        <f>IF('Modelos de TES'!$J$3&gt;='Base de datos '!E108,'Base de datos '!H108,0)</f>
        <v>0</v>
      </c>
    </row>
    <row r="109" spans="5:9" x14ac:dyDescent="0.3">
      <c r="E109" s="13">
        <f t="shared" si="6"/>
        <v>107</v>
      </c>
      <c r="F109" s="14" t="e">
        <f t="shared" si="5"/>
        <v>#NUM!</v>
      </c>
      <c r="G109" s="33">
        <f t="shared" si="4"/>
        <v>38908</v>
      </c>
      <c r="H109" s="34">
        <f>(IF('Modelos de TES'!$J$3='Base de datos '!E109,'Modelos de TES'!$K$3+'Modelos de TES'!$G$3,'Modelos de TES'!$K$3))/((1+'Modelos de TES'!$I$3)^('Base de datos '!G109/365))</f>
        <v>79918.398841981616</v>
      </c>
      <c r="I109" s="36">
        <f>IF('Modelos de TES'!$J$3&gt;='Base de datos '!E109,'Base de datos '!H109,0)</f>
        <v>0</v>
      </c>
    </row>
    <row r="110" spans="5:9" x14ac:dyDescent="0.3">
      <c r="E110" s="13">
        <f t="shared" si="6"/>
        <v>108</v>
      </c>
      <c r="F110" s="14" t="e">
        <f t="shared" si="5"/>
        <v>#NUM!</v>
      </c>
      <c r="G110" s="33">
        <f t="shared" si="4"/>
        <v>39273</v>
      </c>
      <c r="H110" s="34">
        <f>(IF('Modelos de TES'!$J$3='Base de datos '!E110,'Modelos de TES'!$K$3+'Modelos de TES'!$G$3,'Modelos de TES'!$K$3))/((1+'Modelos de TES'!$I$3)^('Base de datos '!G110/365))</f>
        <v>76112.760801887242</v>
      </c>
      <c r="I110" s="36">
        <f>IF('Modelos de TES'!$J$3&gt;='Base de datos '!E110,'Base de datos '!H110,0)</f>
        <v>0</v>
      </c>
    </row>
    <row r="111" spans="5:9" x14ac:dyDescent="0.3">
      <c r="E111" s="13">
        <f t="shared" si="6"/>
        <v>109</v>
      </c>
      <c r="F111" s="14" t="e">
        <f t="shared" si="5"/>
        <v>#NUM!</v>
      </c>
      <c r="G111" s="33">
        <f t="shared" si="4"/>
        <v>39638</v>
      </c>
      <c r="H111" s="34">
        <f>(IF('Modelos de TES'!$J$3='Base de datos '!E111,'Modelos de TES'!$K$3+'Modelos de TES'!$G$3,'Modelos de TES'!$K$3))/((1+'Modelos de TES'!$I$3)^('Base de datos '!G111/365))</f>
        <v>72488.343620844986</v>
      </c>
      <c r="I111" s="36">
        <f>IF('Modelos de TES'!$J$3&gt;='Base de datos '!E111,'Base de datos '!H111,0)</f>
        <v>0</v>
      </c>
    </row>
    <row r="112" spans="5:9" x14ac:dyDescent="0.3">
      <c r="E112" s="13">
        <f t="shared" si="6"/>
        <v>110</v>
      </c>
      <c r="F112" s="14" t="e">
        <f t="shared" si="5"/>
        <v>#NUM!</v>
      </c>
      <c r="G112" s="33">
        <f t="shared" si="4"/>
        <v>40003</v>
      </c>
      <c r="H112" s="34">
        <f>(IF('Modelos de TES'!$J$3='Base de datos '!E112,'Modelos de TES'!$K$3+'Modelos de TES'!$G$3,'Modelos de TES'!$K$3))/((1+'Modelos de TES'!$I$3)^('Base de datos '!G112/365))</f>
        <v>69036.517734138062</v>
      </c>
      <c r="I112" s="36">
        <f>IF('Modelos de TES'!$J$3&gt;='Base de datos '!E112,'Base de datos '!H112,0)</f>
        <v>0</v>
      </c>
    </row>
    <row r="113" spans="5:9" x14ac:dyDescent="0.3">
      <c r="E113" s="13">
        <f t="shared" si="6"/>
        <v>111</v>
      </c>
      <c r="F113" s="14" t="e">
        <f t="shared" si="5"/>
        <v>#NUM!</v>
      </c>
      <c r="G113" s="33">
        <f t="shared" si="4"/>
        <v>40368</v>
      </c>
      <c r="H113" s="34">
        <f>(IF('Modelos de TES'!$J$3='Base de datos '!E113,'Modelos de TES'!$K$3+'Modelos de TES'!$G$3,'Modelos de TES'!$K$3))/((1+'Modelos de TES'!$I$3)^('Base de datos '!G113/365))</f>
        <v>65749.064508702912</v>
      </c>
      <c r="I113" s="36">
        <f>IF('Modelos de TES'!$J$3&gt;='Base de datos '!E113,'Base de datos '!H113,0)</f>
        <v>0</v>
      </c>
    </row>
    <row r="114" spans="5:9" x14ac:dyDescent="0.3">
      <c r="E114" s="13">
        <f t="shared" si="6"/>
        <v>112</v>
      </c>
      <c r="F114" s="14" t="e">
        <f t="shared" si="5"/>
        <v>#NUM!</v>
      </c>
      <c r="G114" s="33">
        <f t="shared" si="4"/>
        <v>40733</v>
      </c>
      <c r="H114" s="34">
        <f>(IF('Modelos de TES'!$J$3='Base de datos '!E114,'Modelos de TES'!$K$3+'Modelos de TES'!$G$3,'Modelos de TES'!$K$3))/((1+'Modelos de TES'!$I$3)^('Base de datos '!G114/365))</f>
        <v>62618.156674955135</v>
      </c>
      <c r="I114" s="36">
        <f>IF('Modelos de TES'!$J$3&gt;='Base de datos '!E114,'Base de datos '!H114,0)</f>
        <v>0</v>
      </c>
    </row>
    <row r="115" spans="5:9" x14ac:dyDescent="0.3">
      <c r="E115" s="13">
        <f t="shared" si="6"/>
        <v>113</v>
      </c>
      <c r="F115" s="14" t="e">
        <f t="shared" si="5"/>
        <v>#NUM!</v>
      </c>
      <c r="G115" s="33">
        <f t="shared" si="4"/>
        <v>41098</v>
      </c>
      <c r="H115" s="34">
        <f>(IF('Modelos de TES'!$J$3='Base de datos '!E115,'Modelos de TES'!$K$3+'Modelos de TES'!$G$3,'Modelos de TES'!$K$3))/((1+'Modelos de TES'!$I$3)^('Base de datos '!G115/365))</f>
        <v>59636.33969043351</v>
      </c>
      <c r="I115" s="36">
        <f>IF('Modelos de TES'!$J$3&gt;='Base de datos '!E115,'Base de datos '!H115,0)</f>
        <v>0</v>
      </c>
    </row>
    <row r="116" spans="5:9" x14ac:dyDescent="0.3">
      <c r="E116" s="13">
        <f t="shared" si="6"/>
        <v>114</v>
      </c>
      <c r="F116" s="14" t="e">
        <f t="shared" si="5"/>
        <v>#NUM!</v>
      </c>
      <c r="G116" s="33">
        <f t="shared" si="4"/>
        <v>41463</v>
      </c>
      <c r="H116" s="34">
        <f>(IF('Modelos de TES'!$J$3='Base de datos '!E116,'Modelos de TES'!$K$3+'Modelos de TES'!$G$3,'Modelos de TES'!$K$3))/((1+'Modelos de TES'!$I$3)^('Base de datos '!G116/365))</f>
        <v>56796.513990889049</v>
      </c>
      <c r="I116" s="36">
        <f>IF('Modelos de TES'!$J$3&gt;='Base de datos '!E116,'Base de datos '!H116,0)</f>
        <v>0</v>
      </c>
    </row>
    <row r="117" spans="5:9" x14ac:dyDescent="0.3">
      <c r="E117" s="13">
        <f t="shared" si="6"/>
        <v>115</v>
      </c>
      <c r="F117" s="14" t="e">
        <f t="shared" si="5"/>
        <v>#NUM!</v>
      </c>
      <c r="G117" s="33">
        <f t="shared" si="4"/>
        <v>41828</v>
      </c>
      <c r="H117" s="34">
        <f>(IF('Modelos de TES'!$J$3='Base de datos '!E117,'Modelos de TES'!$K$3+'Modelos de TES'!$G$3,'Modelos de TES'!$K$3))/((1+'Modelos de TES'!$I$3)^('Base de datos '!G117/365))</f>
        <v>54091.918086560989</v>
      </c>
      <c r="I117" s="36">
        <f>IF('Modelos de TES'!$J$3&gt;='Base de datos '!E117,'Base de datos '!H117,0)</f>
        <v>0</v>
      </c>
    </row>
    <row r="118" spans="5:9" x14ac:dyDescent="0.3">
      <c r="E118" s="13">
        <f t="shared" si="6"/>
        <v>116</v>
      </c>
      <c r="F118" s="14" t="e">
        <f t="shared" si="5"/>
        <v>#NUM!</v>
      </c>
      <c r="G118" s="33">
        <f t="shared" si="4"/>
        <v>42193</v>
      </c>
      <c r="H118" s="34">
        <f>(IF('Modelos de TES'!$J$3='Base de datos '!E118,'Modelos de TES'!$K$3+'Modelos de TES'!$G$3,'Modelos de TES'!$K$3))/((1+'Modelos de TES'!$I$3)^('Base de datos '!G118/365))</f>
        <v>51516.112463391408</v>
      </c>
      <c r="I118" s="36">
        <f>IF('Modelos de TES'!$J$3&gt;='Base de datos '!E118,'Base de datos '!H118,0)</f>
        <v>0</v>
      </c>
    </row>
    <row r="119" spans="5:9" x14ac:dyDescent="0.3">
      <c r="E119" s="13">
        <f t="shared" si="6"/>
        <v>117</v>
      </c>
      <c r="F119" s="14" t="e">
        <f t="shared" si="5"/>
        <v>#NUM!</v>
      </c>
      <c r="G119" s="33">
        <f t="shared" si="4"/>
        <v>42558</v>
      </c>
      <c r="H119" s="34">
        <f>(IF('Modelos de TES'!$J$3='Base de datos '!E119,'Modelos de TES'!$K$3+'Modelos de TES'!$G$3,'Modelos de TES'!$K$3))/((1+'Modelos de TES'!$I$3)^('Base de datos '!G119/365))</f>
        <v>49062.964250848956</v>
      </c>
      <c r="I119" s="36">
        <f>IF('Modelos de TES'!$J$3&gt;='Base de datos '!E119,'Base de datos '!H119,0)</f>
        <v>0</v>
      </c>
    </row>
    <row r="120" spans="5:9" x14ac:dyDescent="0.3">
      <c r="E120" s="13">
        <f t="shared" si="6"/>
        <v>118</v>
      </c>
      <c r="F120" s="14" t="e">
        <f t="shared" si="5"/>
        <v>#NUM!</v>
      </c>
      <c r="G120" s="33">
        <f t="shared" si="4"/>
        <v>42923</v>
      </c>
      <c r="H120" s="34">
        <f>(IF('Modelos de TES'!$J$3='Base de datos '!E120,'Modelos de TES'!$K$3+'Modelos de TES'!$G$3,'Modelos de TES'!$K$3))/((1+'Modelos de TES'!$I$3)^('Base de datos '!G120/365))</f>
        <v>46726.632619856136</v>
      </c>
      <c r="I120" s="36">
        <f>IF('Modelos de TES'!$J$3&gt;='Base de datos '!E120,'Base de datos '!H120,0)</f>
        <v>0</v>
      </c>
    </row>
    <row r="121" spans="5:9" x14ac:dyDescent="0.3">
      <c r="E121" s="13">
        <f t="shared" si="6"/>
        <v>119</v>
      </c>
      <c r="F121" s="14" t="e">
        <f t="shared" si="5"/>
        <v>#NUM!</v>
      </c>
      <c r="G121" s="33">
        <f t="shared" si="4"/>
        <v>43288</v>
      </c>
      <c r="H121" s="34">
        <f>(IF('Modelos de TES'!$J$3='Base de datos '!E121,'Modelos de TES'!$K$3+'Modelos de TES'!$G$3,'Modelos de TES'!$K$3))/((1+'Modelos de TES'!$I$3)^('Base de datos '!G121/365))</f>
        <v>44501.554876053458</v>
      </c>
      <c r="I121" s="36">
        <f>IF('Modelos de TES'!$J$3&gt;='Base de datos '!E121,'Base de datos '!H121,0)</f>
        <v>0</v>
      </c>
    </row>
    <row r="122" spans="5:9" x14ac:dyDescent="0.3">
      <c r="E122" s="13">
        <f t="shared" si="6"/>
        <v>120</v>
      </c>
      <c r="F122" s="14" t="e">
        <f t="shared" si="5"/>
        <v>#NUM!</v>
      </c>
      <c r="G122" s="33">
        <f t="shared" si="4"/>
        <v>43653</v>
      </c>
      <c r="H122" s="34">
        <f>(IF('Modelos de TES'!$J$3='Base de datos '!E122,'Modelos de TES'!$K$3+'Modelos de TES'!$G$3,'Modelos de TES'!$K$3))/((1+'Modelos de TES'!$I$3)^('Base de datos '!G122/365))</f>
        <v>42382.433215289006</v>
      </c>
      <c r="I122" s="36">
        <f>IF('Modelos de TES'!$J$3&gt;='Base de datos '!E122,'Base de datos '!H122,0)</f>
        <v>0</v>
      </c>
    </row>
    <row r="123" spans="5:9" x14ac:dyDescent="0.3">
      <c r="E123" s="13">
        <f t="shared" si="6"/>
        <v>121</v>
      </c>
      <c r="F123" s="14" t="e">
        <f t="shared" si="5"/>
        <v>#NUM!</v>
      </c>
      <c r="G123" s="33">
        <f t="shared" si="4"/>
        <v>44018</v>
      </c>
      <c r="H123" s="34">
        <f>(IF('Modelos de TES'!$J$3='Base de datos '!E123,'Modelos de TES'!$K$3+'Modelos de TES'!$G$3,'Modelos de TES'!$K$3))/((1+'Modelos de TES'!$I$3)^('Base de datos '!G123/365))</f>
        <v>40364.222109799084</v>
      </c>
      <c r="I123" s="36">
        <f>IF('Modelos de TES'!$J$3&gt;='Base de datos '!E123,'Base de datos '!H123,0)</f>
        <v>0</v>
      </c>
    </row>
    <row r="124" spans="5:9" x14ac:dyDescent="0.3">
      <c r="E124" s="13">
        <f t="shared" si="6"/>
        <v>122</v>
      </c>
      <c r="F124" s="14" t="e">
        <f t="shared" si="5"/>
        <v>#NUM!</v>
      </c>
      <c r="G124" s="33">
        <f t="shared" si="4"/>
        <v>44383</v>
      </c>
      <c r="H124" s="34">
        <f>(IF('Modelos de TES'!$J$3='Base de datos '!E124,'Modelos de TES'!$K$3+'Modelos de TES'!$G$3,'Modelos de TES'!$K$3))/((1+'Modelos de TES'!$I$3)^('Base de datos '!G124/365))</f>
        <v>38442.116295046741</v>
      </c>
      <c r="I124" s="36">
        <f>IF('Modelos de TES'!$J$3&gt;='Base de datos '!E124,'Base de datos '!H124,0)</f>
        <v>0</v>
      </c>
    </row>
    <row r="125" spans="5:9" x14ac:dyDescent="0.3">
      <c r="E125" s="13">
        <f t="shared" si="6"/>
        <v>123</v>
      </c>
      <c r="F125" s="14" t="e">
        <f t="shared" si="5"/>
        <v>#NUM!</v>
      </c>
      <c r="G125" s="33">
        <f t="shared" si="4"/>
        <v>44748</v>
      </c>
      <c r="H125" s="34">
        <f>(IF('Modelos de TES'!$J$3='Base de datos '!E125,'Modelos de TES'!$K$3+'Modelos de TES'!$G$3,'Modelos de TES'!$K$3))/((1+'Modelos de TES'!$I$3)^('Base de datos '!G125/365))</f>
        <v>36611.539328615938</v>
      </c>
      <c r="I125" s="36">
        <f>IF('Modelos de TES'!$J$3&gt;='Base de datos '!E125,'Base de datos '!H125,0)</f>
        <v>0</v>
      </c>
    </row>
    <row r="126" spans="5:9" x14ac:dyDescent="0.3">
      <c r="E126" s="13">
        <f t="shared" si="6"/>
        <v>124</v>
      </c>
      <c r="F126" s="14" t="e">
        <f t="shared" si="5"/>
        <v>#NUM!</v>
      </c>
      <c r="G126" s="33">
        <f t="shared" si="4"/>
        <v>45113</v>
      </c>
      <c r="H126" s="34">
        <f>(IF('Modelos de TES'!$J$3='Base de datos '!E126,'Modelos de TES'!$K$3+'Modelos de TES'!$G$3,'Modelos de TES'!$K$3))/((1+'Modelos de TES'!$I$3)^('Base de datos '!G126/365))</f>
        <v>34868.132693919935</v>
      </c>
      <c r="I126" s="36">
        <f>IF('Modelos de TES'!$J$3&gt;='Base de datos '!E126,'Base de datos '!H126,0)</f>
        <v>0</v>
      </c>
    </row>
    <row r="127" spans="5:9" x14ac:dyDescent="0.3">
      <c r="E127" s="13">
        <f t="shared" si="6"/>
        <v>125</v>
      </c>
      <c r="F127" s="14" t="e">
        <f t="shared" si="5"/>
        <v>#NUM!</v>
      </c>
      <c r="G127" s="33">
        <f t="shared" si="4"/>
        <v>45478</v>
      </c>
      <c r="H127" s="34">
        <f>(IF('Modelos de TES'!$J$3='Base de datos '!E127,'Modelos de TES'!$K$3+'Modelos de TES'!$G$3,'Modelos de TES'!$K$3))/((1+'Modelos de TES'!$I$3)^('Base de datos '!G127/365))</f>
        <v>33207.745422780885</v>
      </c>
      <c r="I127" s="36">
        <f>IF('Modelos de TES'!$J$3&gt;='Base de datos '!E127,'Base de datos '!H127,0)</f>
        <v>0</v>
      </c>
    </row>
    <row r="128" spans="5:9" x14ac:dyDescent="0.3">
      <c r="E128" s="13">
        <f t="shared" si="6"/>
        <v>126</v>
      </c>
      <c r="F128" s="14" t="e">
        <f t="shared" si="5"/>
        <v>#NUM!</v>
      </c>
      <c r="G128" s="33">
        <f t="shared" si="4"/>
        <v>45843</v>
      </c>
      <c r="H128" s="34">
        <f>(IF('Modelos de TES'!$J$3='Base de datos '!E128,'Modelos de TES'!$K$3+'Modelos de TES'!$G$3,'Modelos de TES'!$K$3))/((1+'Modelos de TES'!$I$3)^('Base de datos '!G128/365))</f>
        <v>31626.424212172264</v>
      </c>
      <c r="I128" s="36">
        <f>IF('Modelos de TES'!$J$3&gt;='Base de datos '!E128,'Base de datos '!H128,0)</f>
        <v>0</v>
      </c>
    </row>
    <row r="129" spans="5:9" x14ac:dyDescent="0.3">
      <c r="E129" s="13">
        <f t="shared" si="6"/>
        <v>127</v>
      </c>
      <c r="F129" s="14" t="e">
        <f t="shared" si="5"/>
        <v>#NUM!</v>
      </c>
      <c r="G129" s="33">
        <f t="shared" si="4"/>
        <v>46208</v>
      </c>
      <c r="H129" s="34">
        <f>(IF('Modelos de TES'!$J$3='Base de datos '!E129,'Modelos de TES'!$K$3+'Modelos de TES'!$G$3,'Modelos de TES'!$K$3))/((1+'Modelos de TES'!$I$3)^('Base de datos '!G129/365))</f>
        <v>30120.404011592629</v>
      </c>
      <c r="I129" s="36">
        <f>IF('Modelos de TES'!$J$3&gt;='Base de datos '!E129,'Base de datos '!H129,0)</f>
        <v>0</v>
      </c>
    </row>
    <row r="130" spans="5:9" x14ac:dyDescent="0.3">
      <c r="E130" s="13">
        <f t="shared" si="6"/>
        <v>128</v>
      </c>
      <c r="F130" s="14" t="e">
        <f t="shared" si="5"/>
        <v>#NUM!</v>
      </c>
      <c r="G130" s="33">
        <f t="shared" si="4"/>
        <v>46573</v>
      </c>
      <c r="H130" s="34">
        <f>(IF('Modelos de TES'!$J$3='Base de datos '!E130,'Modelos de TES'!$K$3+'Modelos de TES'!$G$3,'Modelos de TES'!$K$3))/((1+'Modelos de TES'!$I$3)^('Base de datos '!G130/365))</f>
        <v>28686.099058659642</v>
      </c>
      <c r="I130" s="36">
        <f>IF('Modelos de TES'!$J$3&gt;='Base de datos '!E130,'Base de datos '!H130,0)</f>
        <v>0</v>
      </c>
    </row>
    <row r="131" spans="5:9" x14ac:dyDescent="0.3">
      <c r="E131" s="13">
        <f t="shared" si="6"/>
        <v>129</v>
      </c>
      <c r="F131" s="14" t="e">
        <f t="shared" si="5"/>
        <v>#NUM!</v>
      </c>
      <c r="G131" s="33">
        <f t="shared" si="4"/>
        <v>46938</v>
      </c>
      <c r="H131" s="34">
        <f>(IF('Modelos de TES'!$J$3='Base de datos '!E131,'Modelos de TES'!$K$3+'Modelos de TES'!$G$3,'Modelos de TES'!$K$3))/((1+'Modelos de TES'!$I$3)^('Base de datos '!G131/365))</f>
        <v>27320.094341580632</v>
      </c>
      <c r="I131" s="36">
        <f>IF('Modelos de TES'!$J$3&gt;='Base de datos '!E131,'Base de datos '!H131,0)</f>
        <v>0</v>
      </c>
    </row>
    <row r="132" spans="5:9" x14ac:dyDescent="0.3">
      <c r="E132" s="13">
        <f t="shared" si="6"/>
        <v>130</v>
      </c>
      <c r="F132" s="14" t="e">
        <f t="shared" si="5"/>
        <v>#NUM!</v>
      </c>
      <c r="G132" s="33">
        <f t="shared" si="4"/>
        <v>47303</v>
      </c>
      <c r="H132" s="34">
        <f>(IF('Modelos de TES'!$J$3='Base de datos '!E132,'Modelos de TES'!$K$3+'Modelos de TES'!$G$3,'Modelos de TES'!$K$3))/((1+'Modelos de TES'!$I$3)^('Base de datos '!G132/365))</f>
        <v>26019.137468172023</v>
      </c>
      <c r="I132" s="36">
        <f>IF('Modelos de TES'!$J$3&gt;='Base de datos '!E132,'Base de datos '!H132,0)</f>
        <v>0</v>
      </c>
    </row>
    <row r="133" spans="5:9" x14ac:dyDescent="0.3">
      <c r="E133" s="13">
        <f t="shared" si="6"/>
        <v>131</v>
      </c>
      <c r="F133" s="14" t="e">
        <f t="shared" si="5"/>
        <v>#NUM!</v>
      </c>
      <c r="G133" s="33">
        <f t="shared" ref="G133:G196" si="7">G132+365</f>
        <v>47668</v>
      </c>
      <c r="H133" s="34">
        <f>(IF('Modelos de TES'!$J$3='Base de datos '!E133,'Modelos de TES'!$K$3+'Modelos de TES'!$G$3,'Modelos de TES'!$K$3))/((1+'Modelos de TES'!$I$3)^('Base de datos '!G133/365))</f>
        <v>24780.130922068591</v>
      </c>
      <c r="I133" s="36">
        <f>IF('Modelos de TES'!$J$3&gt;='Base de datos '!E133,'Base de datos '!H133,0)</f>
        <v>0</v>
      </c>
    </row>
    <row r="134" spans="5:9" x14ac:dyDescent="0.3">
      <c r="E134" s="13">
        <f t="shared" si="6"/>
        <v>132</v>
      </c>
      <c r="F134" s="14" t="e">
        <f t="shared" si="5"/>
        <v>#NUM!</v>
      </c>
      <c r="G134" s="33">
        <f t="shared" si="7"/>
        <v>48033</v>
      </c>
      <c r="H134" s="34">
        <f>(IF('Modelos de TES'!$J$3='Base de datos '!E134,'Modelos de TES'!$K$3+'Modelos de TES'!$G$3,'Modelos de TES'!$K$3))/((1+'Modelos de TES'!$I$3)^('Base de datos '!G134/365))</f>
        <v>23600.124687684372</v>
      </c>
      <c r="I134" s="36">
        <f>IF('Modelos de TES'!$J$3&gt;='Base de datos '!E134,'Base de datos '!H134,0)</f>
        <v>0</v>
      </c>
    </row>
    <row r="135" spans="5:9" x14ac:dyDescent="0.3">
      <c r="E135" s="13">
        <f t="shared" si="6"/>
        <v>133</v>
      </c>
      <c r="F135" s="14" t="e">
        <f t="shared" si="5"/>
        <v>#NUM!</v>
      </c>
      <c r="G135" s="33">
        <f t="shared" si="7"/>
        <v>48398</v>
      </c>
      <c r="H135" s="34">
        <f>(IF('Modelos de TES'!$J$3='Base de datos '!E135,'Modelos de TES'!$K$3+'Modelos de TES'!$G$3,'Modelos de TES'!$K$3))/((1+'Modelos de TES'!$I$3)^('Base de datos '!G135/365))</f>
        <v>22476.309226366062</v>
      </c>
      <c r="I135" s="36">
        <f>IF('Modelos de TES'!$J$3&gt;='Base de datos '!E135,'Base de datos '!H135,0)</f>
        <v>0</v>
      </c>
    </row>
    <row r="136" spans="5:9" x14ac:dyDescent="0.3">
      <c r="E136" s="13">
        <f t="shared" si="6"/>
        <v>134</v>
      </c>
      <c r="F136" s="14" t="e">
        <f t="shared" si="5"/>
        <v>#NUM!</v>
      </c>
      <c r="G136" s="33">
        <f t="shared" si="7"/>
        <v>48763</v>
      </c>
      <c r="H136" s="34">
        <f>(IF('Modelos de TES'!$J$3='Base de datos '!E136,'Modelos de TES'!$K$3+'Modelos de TES'!$G$3,'Modelos de TES'!$K$3))/((1+'Modelos de TES'!$I$3)^('Base de datos '!G136/365))</f>
        <v>21406.008787015293</v>
      </c>
      <c r="I136" s="36">
        <f>IF('Modelos de TES'!$J$3&gt;='Base de datos '!E136,'Base de datos '!H136,0)</f>
        <v>0</v>
      </c>
    </row>
    <row r="137" spans="5:9" x14ac:dyDescent="0.3">
      <c r="E137" s="13">
        <f t="shared" si="6"/>
        <v>135</v>
      </c>
      <c r="F137" s="14" t="e">
        <f t="shared" si="5"/>
        <v>#NUM!</v>
      </c>
      <c r="G137" s="33">
        <f t="shared" si="7"/>
        <v>49128</v>
      </c>
      <c r="H137" s="34">
        <f>(IF('Modelos de TES'!$J$3='Base de datos '!E137,'Modelos de TES'!$K$3+'Modelos de TES'!$G$3,'Modelos de TES'!$K$3))/((1+'Modelos de TES'!$I$3)^('Base de datos '!G137/365))</f>
        <v>20386.675035252658</v>
      </c>
      <c r="I137" s="36">
        <f>IF('Modelos de TES'!$J$3&gt;='Base de datos '!E137,'Base de datos '!H137,0)</f>
        <v>0</v>
      </c>
    </row>
    <row r="138" spans="5:9" x14ac:dyDescent="0.3">
      <c r="E138" s="13">
        <f t="shared" si="6"/>
        <v>136</v>
      </c>
      <c r="F138" s="14" t="e">
        <f t="shared" si="5"/>
        <v>#NUM!</v>
      </c>
      <c r="G138" s="33">
        <f t="shared" si="7"/>
        <v>49493</v>
      </c>
      <c r="H138" s="34">
        <f>(IF('Modelos de TES'!$J$3='Base de datos '!E138,'Modelos de TES'!$K$3+'Modelos de TES'!$G$3,'Modelos de TES'!$K$3))/((1+'Modelos de TES'!$I$3)^('Base de datos '!G138/365))</f>
        <v>19415.880985954911</v>
      </c>
      <c r="I138" s="36">
        <f>IF('Modelos de TES'!$J$3&gt;='Base de datos '!E138,'Base de datos '!H138,0)</f>
        <v>0</v>
      </c>
    </row>
    <row r="139" spans="5:9" x14ac:dyDescent="0.3">
      <c r="E139" s="13">
        <f t="shared" si="6"/>
        <v>137</v>
      </c>
      <c r="F139" s="14" t="e">
        <f t="shared" si="5"/>
        <v>#NUM!</v>
      </c>
      <c r="G139" s="33">
        <f t="shared" si="7"/>
        <v>49858</v>
      </c>
      <c r="H139" s="34">
        <f>(IF('Modelos de TES'!$J$3='Base de datos '!E139,'Modelos de TES'!$K$3+'Modelos de TES'!$G$3,'Modelos de TES'!$K$3))/((1+'Modelos de TES'!$I$3)^('Base de datos '!G139/365))</f>
        <v>18491.315224718976</v>
      </c>
      <c r="I139" s="36">
        <f>IF('Modelos de TES'!$J$3&gt;='Base de datos '!E139,'Base de datos '!H139,0)</f>
        <v>0</v>
      </c>
    </row>
    <row r="140" spans="5:9" x14ac:dyDescent="0.3">
      <c r="E140" s="13">
        <f t="shared" si="6"/>
        <v>138</v>
      </c>
      <c r="F140" s="14" t="e">
        <f t="shared" si="5"/>
        <v>#NUM!</v>
      </c>
      <c r="G140" s="33">
        <f t="shared" si="7"/>
        <v>50223</v>
      </c>
      <c r="H140" s="34">
        <f>(IF('Modelos de TES'!$J$3='Base de datos '!E140,'Modelos de TES'!$K$3+'Modelos de TES'!$G$3,'Modelos de TES'!$K$3))/((1+'Modelos de TES'!$I$3)^('Base de datos '!G140/365))</f>
        <v>17610.77640449426</v>
      </c>
      <c r="I140" s="36">
        <f>IF('Modelos de TES'!$J$3&gt;='Base de datos '!E140,'Base de datos '!H140,0)</f>
        <v>0</v>
      </c>
    </row>
    <row r="141" spans="5:9" x14ac:dyDescent="0.3">
      <c r="E141" s="13">
        <f t="shared" si="6"/>
        <v>139</v>
      </c>
      <c r="F141" s="14" t="e">
        <f t="shared" ref="F141:F204" si="8">COUPNCD(F140,$D$2,1,3)</f>
        <v>#NUM!</v>
      </c>
      <c r="G141" s="33">
        <f t="shared" si="7"/>
        <v>50588</v>
      </c>
      <c r="H141" s="34">
        <f>(IF('Modelos de TES'!$J$3='Base de datos '!E141,'Modelos de TES'!$K$3+'Modelos de TES'!$G$3,'Modelos de TES'!$K$3))/((1+'Modelos de TES'!$I$3)^('Base de datos '!G141/365))</f>
        <v>16772.168004280244</v>
      </c>
      <c r="I141" s="36">
        <f>IF('Modelos de TES'!$J$3&gt;='Base de datos '!E141,'Base de datos '!H141,0)</f>
        <v>0</v>
      </c>
    </row>
    <row r="142" spans="5:9" x14ac:dyDescent="0.3">
      <c r="E142" s="13">
        <f t="shared" ref="E142:E205" si="9">E141+1</f>
        <v>140</v>
      </c>
      <c r="F142" s="14" t="e">
        <f t="shared" si="8"/>
        <v>#NUM!</v>
      </c>
      <c r="G142" s="33">
        <f t="shared" si="7"/>
        <v>50953</v>
      </c>
      <c r="H142" s="34">
        <f>(IF('Modelos de TES'!$J$3='Base de datos '!E142,'Modelos de TES'!$K$3+'Modelos de TES'!$G$3,'Modelos de TES'!$K$3))/((1+'Modelos de TES'!$I$3)^('Base de datos '!G142/365))</f>
        <v>15973.493337409755</v>
      </c>
      <c r="I142" s="36">
        <f>IF('Modelos de TES'!$J$3&gt;='Base de datos '!E142,'Base de datos '!H142,0)</f>
        <v>0</v>
      </c>
    </row>
    <row r="143" spans="5:9" x14ac:dyDescent="0.3">
      <c r="E143" s="13">
        <f t="shared" si="9"/>
        <v>141</v>
      </c>
      <c r="F143" s="14" t="e">
        <f t="shared" si="8"/>
        <v>#NUM!</v>
      </c>
      <c r="G143" s="33">
        <f t="shared" si="7"/>
        <v>51318</v>
      </c>
      <c r="H143" s="34">
        <f>(IF('Modelos de TES'!$J$3='Base de datos '!E143,'Modelos de TES'!$K$3+'Modelos de TES'!$G$3,'Modelos de TES'!$K$3))/((1+'Modelos de TES'!$I$3)^('Base de datos '!G143/365))</f>
        <v>15212.850797533096</v>
      </c>
      <c r="I143" s="36">
        <f>IF('Modelos de TES'!$J$3&gt;='Base de datos '!E143,'Base de datos '!H143,0)</f>
        <v>0</v>
      </c>
    </row>
    <row r="144" spans="5:9" x14ac:dyDescent="0.3">
      <c r="E144" s="13">
        <f t="shared" si="9"/>
        <v>142</v>
      </c>
      <c r="F144" s="14" t="e">
        <f t="shared" si="8"/>
        <v>#NUM!</v>
      </c>
      <c r="G144" s="33">
        <f t="shared" si="7"/>
        <v>51683</v>
      </c>
      <c r="H144" s="34">
        <f>(IF('Modelos de TES'!$J$3='Base de datos '!E144,'Modelos de TES'!$K$3+'Modelos de TES'!$G$3,'Modelos de TES'!$K$3))/((1+'Modelos de TES'!$I$3)^('Base de datos '!G144/365))</f>
        <v>14488.429330983899</v>
      </c>
      <c r="I144" s="36">
        <f>IF('Modelos de TES'!$J$3&gt;='Base de datos '!E144,'Base de datos '!H144,0)</f>
        <v>0</v>
      </c>
    </row>
    <row r="145" spans="5:9" x14ac:dyDescent="0.3">
      <c r="E145" s="13">
        <f t="shared" si="9"/>
        <v>143</v>
      </c>
      <c r="F145" s="14" t="e">
        <f t="shared" si="8"/>
        <v>#NUM!</v>
      </c>
      <c r="G145" s="33">
        <f t="shared" si="7"/>
        <v>52048</v>
      </c>
      <c r="H145" s="34">
        <f>(IF('Modelos de TES'!$J$3='Base de datos '!E145,'Modelos de TES'!$K$3+'Modelos de TES'!$G$3,'Modelos de TES'!$K$3))/((1+'Modelos de TES'!$I$3)^('Base de datos '!G145/365))</f>
        <v>13798.504124746569</v>
      </c>
      <c r="I145" s="36">
        <f>IF('Modelos de TES'!$J$3&gt;='Base de datos '!E145,'Base de datos '!H145,0)</f>
        <v>0</v>
      </c>
    </row>
    <row r="146" spans="5:9" x14ac:dyDescent="0.3">
      <c r="E146" s="13">
        <f t="shared" si="9"/>
        <v>144</v>
      </c>
      <c r="F146" s="14" t="e">
        <f t="shared" si="8"/>
        <v>#NUM!</v>
      </c>
      <c r="G146" s="33">
        <f t="shared" si="7"/>
        <v>52413</v>
      </c>
      <c r="H146" s="34">
        <f>(IF('Modelos de TES'!$J$3='Base de datos '!E146,'Modelos de TES'!$K$3+'Modelos de TES'!$G$3,'Modelos de TES'!$K$3))/((1+'Modelos de TES'!$I$3)^('Base de datos '!G146/365))</f>
        <v>13141.432499758635</v>
      </c>
      <c r="I146" s="36">
        <f>IF('Modelos de TES'!$J$3&gt;='Base de datos '!E146,'Base de datos '!H146,0)</f>
        <v>0</v>
      </c>
    </row>
    <row r="147" spans="5:9" x14ac:dyDescent="0.3">
      <c r="E147" s="13">
        <f t="shared" si="9"/>
        <v>145</v>
      </c>
      <c r="F147" s="14" t="e">
        <f t="shared" si="8"/>
        <v>#NUM!</v>
      </c>
      <c r="G147" s="33">
        <f t="shared" si="7"/>
        <v>52778</v>
      </c>
      <c r="H147" s="34">
        <f>(IF('Modelos de TES'!$J$3='Base de datos '!E147,'Modelos de TES'!$K$3+'Modelos de TES'!$G$3,'Modelos de TES'!$K$3))/((1+'Modelos de TES'!$I$3)^('Base de datos '!G147/365))</f>
        <v>12515.649999770138</v>
      </c>
      <c r="I147" s="36">
        <f>IF('Modelos de TES'!$J$3&gt;='Base de datos '!E147,'Base de datos '!H147,0)</f>
        <v>0</v>
      </c>
    </row>
    <row r="148" spans="5:9" x14ac:dyDescent="0.3">
      <c r="E148" s="13">
        <f t="shared" si="9"/>
        <v>146</v>
      </c>
      <c r="F148" s="14" t="e">
        <f t="shared" si="8"/>
        <v>#NUM!</v>
      </c>
      <c r="G148" s="33">
        <f t="shared" si="7"/>
        <v>53143</v>
      </c>
      <c r="H148" s="34">
        <f>(IF('Modelos de TES'!$J$3='Base de datos '!E148,'Modelos de TES'!$K$3+'Modelos de TES'!$G$3,'Modelos de TES'!$K$3))/((1+'Modelos de TES'!$I$3)^('Base de datos '!G148/365))</f>
        <v>11919.666666447749</v>
      </c>
      <c r="I148" s="36">
        <f>IF('Modelos de TES'!$J$3&gt;='Base de datos '!E148,'Base de datos '!H148,0)</f>
        <v>0</v>
      </c>
    </row>
    <row r="149" spans="5:9" x14ac:dyDescent="0.3">
      <c r="E149" s="13">
        <f t="shared" si="9"/>
        <v>147</v>
      </c>
      <c r="F149" s="14" t="e">
        <f t="shared" si="8"/>
        <v>#NUM!</v>
      </c>
      <c r="G149" s="33">
        <f t="shared" si="7"/>
        <v>53508</v>
      </c>
      <c r="H149" s="34">
        <f>(IF('Modelos de TES'!$J$3='Base de datos '!E149,'Modelos de TES'!$K$3+'Modelos de TES'!$G$3,'Modelos de TES'!$K$3))/((1+'Modelos de TES'!$I$3)^('Base de datos '!G149/365))</f>
        <v>11352.063491854997</v>
      </c>
      <c r="I149" s="36">
        <f>IF('Modelos de TES'!$J$3&gt;='Base de datos '!E149,'Base de datos '!H149,0)</f>
        <v>0</v>
      </c>
    </row>
    <row r="150" spans="5:9" x14ac:dyDescent="0.3">
      <c r="E150" s="13">
        <f t="shared" si="9"/>
        <v>148</v>
      </c>
      <c r="F150" s="14" t="e">
        <f t="shared" si="8"/>
        <v>#NUM!</v>
      </c>
      <c r="G150" s="33">
        <f t="shared" si="7"/>
        <v>53873</v>
      </c>
      <c r="H150" s="34">
        <f>(IF('Modelos de TES'!$J$3='Base de datos '!E150,'Modelos de TES'!$K$3+'Modelos de TES'!$G$3,'Modelos de TES'!$K$3))/((1+'Modelos de TES'!$I$3)^('Base de datos '!G150/365))</f>
        <v>10811.489039861901</v>
      </c>
      <c r="I150" s="36">
        <f>IF('Modelos de TES'!$J$3&gt;='Base de datos '!E150,'Base de datos '!H150,0)</f>
        <v>0</v>
      </c>
    </row>
    <row r="151" spans="5:9" x14ac:dyDescent="0.3">
      <c r="E151" s="13">
        <f t="shared" si="9"/>
        <v>149</v>
      </c>
      <c r="F151" s="14" t="e">
        <f t="shared" si="8"/>
        <v>#NUM!</v>
      </c>
      <c r="G151" s="33">
        <f t="shared" si="7"/>
        <v>54238</v>
      </c>
      <c r="H151" s="34">
        <f>(IF('Modelos de TES'!$J$3='Base de datos '!E151,'Modelos de TES'!$K$3+'Modelos de TES'!$G$3,'Modelos de TES'!$K$3))/((1+'Modelos de TES'!$I$3)^('Base de datos '!G151/365))</f>
        <v>10296.656228439902</v>
      </c>
      <c r="I151" s="36">
        <f>IF('Modelos de TES'!$J$3&gt;='Base de datos '!E151,'Base de datos '!H151,0)</f>
        <v>0</v>
      </c>
    </row>
    <row r="152" spans="5:9" x14ac:dyDescent="0.3">
      <c r="E152" s="13">
        <f t="shared" si="9"/>
        <v>150</v>
      </c>
      <c r="F152" s="14" t="e">
        <f t="shared" si="8"/>
        <v>#NUM!</v>
      </c>
      <c r="G152" s="33">
        <f t="shared" si="7"/>
        <v>54603</v>
      </c>
      <c r="H152" s="34">
        <f>(IF('Modelos de TES'!$J$3='Base de datos '!E152,'Modelos de TES'!$K$3+'Modelos de TES'!$G$3,'Modelos de TES'!$K$3))/((1+'Modelos de TES'!$I$3)^('Base de datos '!G152/365))</f>
        <v>9806.339265180859</v>
      </c>
      <c r="I152" s="36">
        <f>IF('Modelos de TES'!$J$3&gt;='Base de datos '!E152,'Base de datos '!H152,0)</f>
        <v>0</v>
      </c>
    </row>
    <row r="153" spans="5:9" x14ac:dyDescent="0.3">
      <c r="E153" s="13">
        <f t="shared" si="9"/>
        <v>151</v>
      </c>
      <c r="F153" s="14" t="e">
        <f t="shared" si="8"/>
        <v>#NUM!</v>
      </c>
      <c r="G153" s="33">
        <f t="shared" si="7"/>
        <v>54968</v>
      </c>
      <c r="H153" s="34">
        <f>(IF('Modelos de TES'!$J$3='Base de datos '!E153,'Modelos de TES'!$K$3+'Modelos de TES'!$G$3,'Modelos de TES'!$K$3))/((1+'Modelos de TES'!$I$3)^('Base de datos '!G153/365))</f>
        <v>9339.3707287436719</v>
      </c>
      <c r="I153" s="36">
        <f>IF('Modelos de TES'!$J$3&gt;='Base de datos '!E153,'Base de datos '!H153,0)</f>
        <v>0</v>
      </c>
    </row>
    <row r="154" spans="5:9" x14ac:dyDescent="0.3">
      <c r="E154" s="13">
        <f t="shared" si="9"/>
        <v>152</v>
      </c>
      <c r="F154" s="14" t="e">
        <f t="shared" si="8"/>
        <v>#NUM!</v>
      </c>
      <c r="G154" s="33">
        <f t="shared" si="7"/>
        <v>55333</v>
      </c>
      <c r="H154" s="34">
        <f>(IF('Modelos de TES'!$J$3='Base de datos '!E154,'Modelos de TES'!$K$3+'Modelos de TES'!$G$3,'Modelos de TES'!$K$3))/((1+'Modelos de TES'!$I$3)^('Base de datos '!G154/365))</f>
        <v>8894.6387892796884</v>
      </c>
      <c r="I154" s="36">
        <f>IF('Modelos de TES'!$J$3&gt;='Base de datos '!E154,'Base de datos '!H154,0)</f>
        <v>0</v>
      </c>
    </row>
    <row r="155" spans="5:9" x14ac:dyDescent="0.3">
      <c r="E155" s="13">
        <f t="shared" si="9"/>
        <v>153</v>
      </c>
      <c r="F155" s="14" t="e">
        <f t="shared" si="8"/>
        <v>#NUM!</v>
      </c>
      <c r="G155" s="33">
        <f t="shared" si="7"/>
        <v>55698</v>
      </c>
      <c r="H155" s="34">
        <f>(IF('Modelos de TES'!$J$3='Base de datos '!E155,'Modelos de TES'!$K$3+'Modelos de TES'!$G$3,'Modelos de TES'!$K$3))/((1+'Modelos de TES'!$I$3)^('Base de datos '!G155/365))</f>
        <v>8471.084561218755</v>
      </c>
      <c r="I155" s="36">
        <f>IF('Modelos de TES'!$J$3&gt;='Base de datos '!E155,'Base de datos '!H155,0)</f>
        <v>0</v>
      </c>
    </row>
    <row r="156" spans="5:9" x14ac:dyDescent="0.3">
      <c r="E156" s="13">
        <f t="shared" si="9"/>
        <v>154</v>
      </c>
      <c r="F156" s="14" t="e">
        <f t="shared" si="8"/>
        <v>#NUM!</v>
      </c>
      <c r="G156" s="33">
        <f t="shared" si="7"/>
        <v>56063</v>
      </c>
      <c r="H156" s="34">
        <f>(IF('Modelos de TES'!$J$3='Base de datos '!E156,'Modelos de TES'!$K$3+'Modelos de TES'!$G$3,'Modelos de TES'!$K$3))/((1+'Modelos de TES'!$I$3)^('Base de datos '!G156/365))</f>
        <v>8067.6995821130995</v>
      </c>
      <c r="I156" s="36">
        <f>IF('Modelos de TES'!$J$3&gt;='Base de datos '!E156,'Base de datos '!H156,0)</f>
        <v>0</v>
      </c>
    </row>
    <row r="157" spans="5:9" x14ac:dyDescent="0.3">
      <c r="E157" s="13">
        <f t="shared" si="9"/>
        <v>155</v>
      </c>
      <c r="F157" s="14" t="e">
        <f t="shared" si="8"/>
        <v>#NUM!</v>
      </c>
      <c r="G157" s="33">
        <f t="shared" si="7"/>
        <v>56428</v>
      </c>
      <c r="H157" s="34">
        <f>(IF('Modelos de TES'!$J$3='Base de datos '!E157,'Modelos de TES'!$K$3+'Modelos de TES'!$G$3,'Modelos de TES'!$K$3))/((1+'Modelos de TES'!$I$3)^('Base de datos '!G157/365))</f>
        <v>7683.5234115362846</v>
      </c>
      <c r="I157" s="36">
        <f>IF('Modelos de TES'!$J$3&gt;='Base de datos '!E157,'Base de datos '!H157,0)</f>
        <v>0</v>
      </c>
    </row>
    <row r="158" spans="5:9" x14ac:dyDescent="0.3">
      <c r="E158" s="13">
        <f t="shared" si="9"/>
        <v>156</v>
      </c>
      <c r="F158" s="14" t="e">
        <f t="shared" si="8"/>
        <v>#NUM!</v>
      </c>
      <c r="G158" s="33">
        <f t="shared" si="7"/>
        <v>56793</v>
      </c>
      <c r="H158" s="34">
        <f>(IF('Modelos de TES'!$J$3='Base de datos '!E158,'Modelos de TES'!$K$3+'Modelos de TES'!$G$3,'Modelos de TES'!$K$3))/((1+'Modelos de TES'!$I$3)^('Base de datos '!G158/365))</f>
        <v>7317.6413443202691</v>
      </c>
      <c r="I158" s="36">
        <f>IF('Modelos de TES'!$J$3&gt;='Base de datos '!E158,'Base de datos '!H158,0)</f>
        <v>0</v>
      </c>
    </row>
    <row r="159" spans="5:9" x14ac:dyDescent="0.3">
      <c r="E159" s="13">
        <f t="shared" si="9"/>
        <v>157</v>
      </c>
      <c r="F159" s="14" t="e">
        <f t="shared" si="8"/>
        <v>#NUM!</v>
      </c>
      <c r="G159" s="33">
        <f t="shared" si="7"/>
        <v>57158</v>
      </c>
      <c r="H159" s="34">
        <f>(IF('Modelos de TES'!$J$3='Base de datos '!E159,'Modelos de TES'!$K$3+'Modelos de TES'!$G$3,'Modelos de TES'!$K$3))/((1+'Modelos de TES'!$I$3)^('Base de datos '!G159/365))</f>
        <v>6969.1822326859692</v>
      </c>
      <c r="I159" s="36">
        <f>IF('Modelos de TES'!$J$3&gt;='Base de datos '!E159,'Base de datos '!H159,0)</f>
        <v>0</v>
      </c>
    </row>
    <row r="160" spans="5:9" x14ac:dyDescent="0.3">
      <c r="E160" s="13">
        <f t="shared" si="9"/>
        <v>158</v>
      </c>
      <c r="F160" s="14" t="e">
        <f t="shared" si="8"/>
        <v>#NUM!</v>
      </c>
      <c r="G160" s="33">
        <f t="shared" si="7"/>
        <v>57523</v>
      </c>
      <c r="H160" s="34">
        <f>(IF('Modelos de TES'!$J$3='Base de datos '!E160,'Modelos de TES'!$K$3+'Modelos de TES'!$G$3,'Modelos de TES'!$K$3))/((1+'Modelos de TES'!$I$3)^('Base de datos '!G160/365))</f>
        <v>6637.3164120818747</v>
      </c>
      <c r="I160" s="36">
        <f>IF('Modelos de TES'!$J$3&gt;='Base de datos '!E160,'Base de datos '!H160,0)</f>
        <v>0</v>
      </c>
    </row>
    <row r="161" spans="5:9" x14ac:dyDescent="0.3">
      <c r="E161" s="13">
        <f t="shared" si="9"/>
        <v>159</v>
      </c>
      <c r="F161" s="14" t="e">
        <f t="shared" si="8"/>
        <v>#NUM!</v>
      </c>
      <c r="G161" s="33">
        <f t="shared" si="7"/>
        <v>57888</v>
      </c>
      <c r="H161" s="34">
        <f>(IF('Modelos de TES'!$J$3='Base de datos '!E161,'Modelos de TES'!$K$3+'Modelos de TES'!$G$3,'Modelos de TES'!$K$3))/((1+'Modelos de TES'!$I$3)^('Base de datos '!G161/365))</f>
        <v>6321.2537257922613</v>
      </c>
      <c r="I161" s="36">
        <f>IF('Modelos de TES'!$J$3&gt;='Base de datos '!E161,'Base de datos '!H161,0)</f>
        <v>0</v>
      </c>
    </row>
    <row r="162" spans="5:9" x14ac:dyDescent="0.3">
      <c r="E162" s="13">
        <f t="shared" si="9"/>
        <v>160</v>
      </c>
      <c r="F162" s="14" t="e">
        <f t="shared" si="8"/>
        <v>#NUM!</v>
      </c>
      <c r="G162" s="33">
        <f t="shared" si="7"/>
        <v>58253</v>
      </c>
      <c r="H162" s="34">
        <f>(IF('Modelos de TES'!$J$3='Base de datos '!E162,'Modelos de TES'!$K$3+'Modelos de TES'!$G$3,'Modelos de TES'!$K$3))/((1+'Modelos de TES'!$I$3)^('Base de datos '!G162/365))</f>
        <v>6020.2416436116755</v>
      </c>
      <c r="I162" s="36">
        <f>IF('Modelos de TES'!$J$3&gt;='Base de datos '!E162,'Base de datos '!H162,0)</f>
        <v>0</v>
      </c>
    </row>
    <row r="163" spans="5:9" x14ac:dyDescent="0.3">
      <c r="E163" s="13">
        <f t="shared" si="9"/>
        <v>161</v>
      </c>
      <c r="F163" s="14" t="e">
        <f t="shared" si="8"/>
        <v>#NUM!</v>
      </c>
      <c r="G163" s="33">
        <f t="shared" si="7"/>
        <v>58618</v>
      </c>
      <c r="H163" s="34">
        <f>(IF('Modelos de TES'!$J$3='Base de datos '!E163,'Modelos de TES'!$K$3+'Modelos de TES'!$G$3,'Modelos de TES'!$K$3))/((1+'Modelos de TES'!$I$3)^('Base de datos '!G163/365))</f>
        <v>5733.5634701063627</v>
      </c>
      <c r="I163" s="36">
        <f>IF('Modelos de TES'!$J$3&gt;='Base de datos '!E163,'Base de datos '!H163,0)</f>
        <v>0</v>
      </c>
    </row>
    <row r="164" spans="5:9" x14ac:dyDescent="0.3">
      <c r="E164" s="13">
        <f t="shared" si="9"/>
        <v>162</v>
      </c>
      <c r="F164" s="14" t="e">
        <f t="shared" si="8"/>
        <v>#NUM!</v>
      </c>
      <c r="G164" s="33">
        <f t="shared" si="7"/>
        <v>58983</v>
      </c>
      <c r="H164" s="34">
        <f>(IF('Modelos de TES'!$J$3='Base de datos '!E164,'Modelos de TES'!$K$3+'Modelos de TES'!$G$3,'Modelos de TES'!$K$3))/((1+'Modelos de TES'!$I$3)^('Base de datos '!G164/365))</f>
        <v>5460.536638196535</v>
      </c>
      <c r="I164" s="36">
        <f>IF('Modelos de TES'!$J$3&gt;='Base de datos '!E164,'Base de datos '!H164,0)</f>
        <v>0</v>
      </c>
    </row>
    <row r="165" spans="5:9" x14ac:dyDescent="0.3">
      <c r="E165" s="13">
        <f t="shared" si="9"/>
        <v>163</v>
      </c>
      <c r="F165" s="14" t="e">
        <f t="shared" si="8"/>
        <v>#NUM!</v>
      </c>
      <c r="G165" s="33">
        <f t="shared" si="7"/>
        <v>59348</v>
      </c>
      <c r="H165" s="34">
        <f>(IF('Modelos de TES'!$J$3='Base de datos '!E165,'Modelos de TES'!$K$3+'Modelos de TES'!$G$3,'Modelos de TES'!$K$3))/((1+'Modelos de TES'!$I$3)^('Base de datos '!G165/365))</f>
        <v>5200.5110839966983</v>
      </c>
      <c r="I165" s="36">
        <f>IF('Modelos de TES'!$J$3&gt;='Base de datos '!E165,'Base de datos '!H165,0)</f>
        <v>0</v>
      </c>
    </row>
    <row r="166" spans="5:9" x14ac:dyDescent="0.3">
      <c r="E166" s="13">
        <f t="shared" si="9"/>
        <v>164</v>
      </c>
      <c r="F166" s="14" t="e">
        <f t="shared" si="8"/>
        <v>#NUM!</v>
      </c>
      <c r="G166" s="33">
        <f t="shared" si="7"/>
        <v>59713</v>
      </c>
      <c r="H166" s="34">
        <f>(IF('Modelos de TES'!$J$3='Base de datos '!E166,'Modelos de TES'!$K$3+'Modelos de TES'!$G$3,'Modelos de TES'!$K$3))/((1+'Modelos de TES'!$I$3)^('Base de datos '!G166/365))</f>
        <v>4952.8676990444746</v>
      </c>
      <c r="I166" s="36">
        <f>IF('Modelos de TES'!$J$3&gt;='Base de datos '!E166,'Base de datos '!H166,0)</f>
        <v>0</v>
      </c>
    </row>
    <row r="167" spans="5:9" x14ac:dyDescent="0.3">
      <c r="E167" s="13">
        <f t="shared" si="9"/>
        <v>165</v>
      </c>
      <c r="F167" s="14" t="e">
        <f t="shared" si="8"/>
        <v>#NUM!</v>
      </c>
      <c r="G167" s="33">
        <f t="shared" si="7"/>
        <v>60078</v>
      </c>
      <c r="H167" s="34">
        <f>(IF('Modelos de TES'!$J$3='Base de datos '!E167,'Modelos de TES'!$K$3+'Modelos de TES'!$G$3,'Modelos de TES'!$K$3))/((1+'Modelos de TES'!$I$3)^('Base de datos '!G167/365))</f>
        <v>4717.0168562328317</v>
      </c>
      <c r="I167" s="36">
        <f>IF('Modelos de TES'!$J$3&gt;='Base de datos '!E167,'Base de datos '!H167,0)</f>
        <v>0</v>
      </c>
    </row>
    <row r="168" spans="5:9" x14ac:dyDescent="0.3">
      <c r="E168" s="13">
        <f t="shared" si="9"/>
        <v>166</v>
      </c>
      <c r="F168" s="14" t="e">
        <f t="shared" si="8"/>
        <v>#NUM!</v>
      </c>
      <c r="G168" s="33">
        <f t="shared" si="7"/>
        <v>60443</v>
      </c>
      <c r="H168" s="34">
        <f>(IF('Modelos de TES'!$J$3='Base de datos '!E168,'Modelos de TES'!$K$3+'Modelos de TES'!$G$3,'Modelos de TES'!$K$3))/((1+'Modelos de TES'!$I$3)^('Base de datos '!G168/365))</f>
        <v>4492.3970059360299</v>
      </c>
      <c r="I168" s="36">
        <f>IF('Modelos de TES'!$J$3&gt;='Base de datos '!E168,'Base de datos '!H168,0)</f>
        <v>0</v>
      </c>
    </row>
    <row r="169" spans="5:9" x14ac:dyDescent="0.3">
      <c r="E169" s="13">
        <f t="shared" si="9"/>
        <v>167</v>
      </c>
      <c r="F169" s="14" t="e">
        <f t="shared" si="8"/>
        <v>#NUM!</v>
      </c>
      <c r="G169" s="33">
        <f t="shared" si="7"/>
        <v>60808</v>
      </c>
      <c r="H169" s="34">
        <f>(IF('Modelos de TES'!$J$3='Base de datos '!E169,'Modelos de TES'!$K$3+'Modelos de TES'!$G$3,'Modelos de TES'!$K$3))/((1+'Modelos de TES'!$I$3)^('Base de datos '!G169/365))</f>
        <v>4278.4733389866942</v>
      </c>
      <c r="I169" s="36">
        <f>IF('Modelos de TES'!$J$3&gt;='Base de datos '!E169,'Base de datos '!H169,0)</f>
        <v>0</v>
      </c>
    </row>
    <row r="170" spans="5:9" x14ac:dyDescent="0.3">
      <c r="E170" s="13">
        <f t="shared" si="9"/>
        <v>168</v>
      </c>
      <c r="F170" s="14" t="e">
        <f t="shared" si="8"/>
        <v>#NUM!</v>
      </c>
      <c r="G170" s="33">
        <f t="shared" si="7"/>
        <v>61173</v>
      </c>
      <c r="H170" s="34">
        <f>(IF('Modelos de TES'!$J$3='Base de datos '!E170,'Modelos de TES'!$K$3+'Modelos de TES'!$G$3,'Modelos de TES'!$K$3))/((1+'Modelos de TES'!$I$3)^('Base de datos '!G170/365))</f>
        <v>4074.7365133206608</v>
      </c>
      <c r="I170" s="36">
        <f>IF('Modelos de TES'!$J$3&gt;='Base de datos '!E170,'Base de datos '!H170,0)</f>
        <v>0</v>
      </c>
    </row>
    <row r="171" spans="5:9" x14ac:dyDescent="0.3">
      <c r="E171" s="13">
        <f t="shared" si="9"/>
        <v>169</v>
      </c>
      <c r="F171" s="14" t="e">
        <f t="shared" si="8"/>
        <v>#NUM!</v>
      </c>
      <c r="G171" s="33">
        <f t="shared" si="7"/>
        <v>61538</v>
      </c>
      <c r="H171" s="34">
        <f>(IF('Modelos de TES'!$J$3='Base de datos '!E171,'Modelos de TES'!$K$3+'Modelos de TES'!$G$3,'Modelos de TES'!$K$3))/((1+'Modelos de TES'!$I$3)^('Base de datos '!G171/365))</f>
        <v>3880.7014412577714</v>
      </c>
      <c r="I171" s="36">
        <f>IF('Modelos de TES'!$J$3&gt;='Base de datos '!E171,'Base de datos '!H171,0)</f>
        <v>0</v>
      </c>
    </row>
    <row r="172" spans="5:9" x14ac:dyDescent="0.3">
      <c r="E172" s="13">
        <f t="shared" si="9"/>
        <v>170</v>
      </c>
      <c r="F172" s="14" t="e">
        <f t="shared" si="8"/>
        <v>#NUM!</v>
      </c>
      <c r="G172" s="33">
        <f t="shared" si="7"/>
        <v>61903</v>
      </c>
      <c r="H172" s="34">
        <f>(IF('Modelos de TES'!$J$3='Base de datos '!E172,'Modelos de TES'!$K$3+'Modelos de TES'!$G$3,'Modelos de TES'!$K$3))/((1+'Modelos de TES'!$I$3)^('Base de datos '!G172/365))</f>
        <v>3695.9061345312102</v>
      </c>
      <c r="I172" s="36">
        <f>IF('Modelos de TES'!$J$3&gt;='Base de datos '!E172,'Base de datos '!H172,0)</f>
        <v>0</v>
      </c>
    </row>
    <row r="173" spans="5:9" x14ac:dyDescent="0.3">
      <c r="E173" s="13">
        <f t="shared" si="9"/>
        <v>171</v>
      </c>
      <c r="F173" s="14" t="e">
        <f t="shared" si="8"/>
        <v>#NUM!</v>
      </c>
      <c r="G173" s="33">
        <f t="shared" si="7"/>
        <v>62268</v>
      </c>
      <c r="H173" s="34">
        <f>(IF('Modelos de TES'!$J$3='Base de datos '!E173,'Modelos de TES'!$K$3+'Modelos de TES'!$G$3,'Modelos de TES'!$K$3))/((1+'Modelos de TES'!$I$3)^('Base de datos '!G173/365))</f>
        <v>3519.9106043154384</v>
      </c>
      <c r="I173" s="36">
        <f>IF('Modelos de TES'!$J$3&gt;='Base de datos '!E173,'Base de datos '!H173,0)</f>
        <v>0</v>
      </c>
    </row>
    <row r="174" spans="5:9" x14ac:dyDescent="0.3">
      <c r="E174" s="13">
        <f t="shared" si="9"/>
        <v>172</v>
      </c>
      <c r="F174" s="14" t="e">
        <f t="shared" si="8"/>
        <v>#NUM!</v>
      </c>
      <c r="G174" s="33">
        <f t="shared" si="7"/>
        <v>62633</v>
      </c>
      <c r="H174" s="34">
        <f>(IF('Modelos de TES'!$J$3='Base de datos '!E174,'Modelos de TES'!$K$3+'Modelos de TES'!$G$3,'Modelos de TES'!$K$3))/((1+'Modelos de TES'!$I$3)^('Base de datos '!G174/365))</f>
        <v>3352.2958136337497</v>
      </c>
      <c r="I174" s="36">
        <f>IF('Modelos de TES'!$J$3&gt;='Base de datos '!E174,'Base de datos '!H174,0)</f>
        <v>0</v>
      </c>
    </row>
    <row r="175" spans="5:9" x14ac:dyDescent="0.3">
      <c r="E175" s="13">
        <f t="shared" si="9"/>
        <v>173</v>
      </c>
      <c r="F175" s="14" t="e">
        <f t="shared" si="8"/>
        <v>#NUM!</v>
      </c>
      <c r="G175" s="33">
        <f t="shared" si="7"/>
        <v>62998</v>
      </c>
      <c r="H175" s="34">
        <f>(IF('Modelos de TES'!$J$3='Base de datos '!E175,'Modelos de TES'!$K$3+'Modelos de TES'!$G$3,'Modelos de TES'!$K$3))/((1+'Modelos de TES'!$I$3)^('Base de datos '!G175/365))</f>
        <v>3192.6626796511955</v>
      </c>
      <c r="I175" s="36">
        <f>IF('Modelos de TES'!$J$3&gt;='Base de datos '!E175,'Base de datos '!H175,0)</f>
        <v>0</v>
      </c>
    </row>
    <row r="176" spans="5:9" x14ac:dyDescent="0.3">
      <c r="E176" s="13">
        <f t="shared" si="9"/>
        <v>174</v>
      </c>
      <c r="F176" s="14" t="e">
        <f t="shared" si="8"/>
        <v>#NUM!</v>
      </c>
      <c r="G176" s="33">
        <f t="shared" si="7"/>
        <v>63363</v>
      </c>
      <c r="H176" s="34">
        <f>(IF('Modelos de TES'!$J$3='Base de datos '!E176,'Modelos de TES'!$K$3+'Modelos de TES'!$G$3,'Modelos de TES'!$K$3))/((1+'Modelos de TES'!$I$3)^('Base de datos '!G176/365))</f>
        <v>3040.6311234773284</v>
      </c>
      <c r="I176" s="36">
        <f>IF('Modelos de TES'!$J$3&gt;='Base de datos '!E176,'Base de datos '!H176,0)</f>
        <v>0</v>
      </c>
    </row>
    <row r="177" spans="5:9" x14ac:dyDescent="0.3">
      <c r="E177" s="13">
        <f t="shared" si="9"/>
        <v>175</v>
      </c>
      <c r="F177" s="14" t="e">
        <f t="shared" si="8"/>
        <v>#NUM!</v>
      </c>
      <c r="G177" s="33">
        <f t="shared" si="7"/>
        <v>63728</v>
      </c>
      <c r="H177" s="34">
        <f>(IF('Modelos de TES'!$J$3='Base de datos '!E177,'Modelos de TES'!$K$3+'Modelos de TES'!$G$3,'Modelos de TES'!$K$3))/((1+'Modelos de TES'!$I$3)^('Base de datos '!G177/365))</f>
        <v>2895.8391652165028</v>
      </c>
      <c r="I177" s="36">
        <f>IF('Modelos de TES'!$J$3&gt;='Base de datos '!E177,'Base de datos '!H177,0)</f>
        <v>0</v>
      </c>
    </row>
    <row r="178" spans="5:9" x14ac:dyDescent="0.3">
      <c r="E178" s="13">
        <f t="shared" si="9"/>
        <v>176</v>
      </c>
      <c r="F178" s="14" t="e">
        <f t="shared" si="8"/>
        <v>#NUM!</v>
      </c>
      <c r="G178" s="33">
        <f t="shared" si="7"/>
        <v>64093</v>
      </c>
      <c r="H178" s="34">
        <f>(IF('Modelos de TES'!$J$3='Base de datos '!E178,'Modelos de TES'!$K$3+'Modelos de TES'!$G$3,'Modelos de TES'!$K$3))/((1+'Modelos de TES'!$I$3)^('Base de datos '!G178/365))</f>
        <v>2757.9420621109548</v>
      </c>
      <c r="I178" s="36">
        <f>IF('Modelos de TES'!$J$3&gt;='Base de datos '!E178,'Base de datos '!H178,0)</f>
        <v>0</v>
      </c>
    </row>
    <row r="179" spans="5:9" x14ac:dyDescent="0.3">
      <c r="E179" s="13">
        <f t="shared" si="9"/>
        <v>177</v>
      </c>
      <c r="F179" s="14" t="e">
        <f t="shared" si="8"/>
        <v>#NUM!</v>
      </c>
      <c r="G179" s="33">
        <f t="shared" si="7"/>
        <v>64458</v>
      </c>
      <c r="H179" s="34">
        <f>(IF('Modelos de TES'!$J$3='Base de datos '!E179,'Modelos de TES'!$K$3+'Modelos de TES'!$G$3,'Modelos de TES'!$K$3))/((1+'Modelos de TES'!$I$3)^('Base de datos '!G179/365))</f>
        <v>2626.6114877247182</v>
      </c>
      <c r="I179" s="36">
        <f>IF('Modelos de TES'!$J$3&gt;='Base de datos '!E179,'Base de datos '!H179,0)</f>
        <v>0</v>
      </c>
    </row>
    <row r="180" spans="5:9" x14ac:dyDescent="0.3">
      <c r="E180" s="13">
        <f t="shared" si="9"/>
        <v>178</v>
      </c>
      <c r="F180" s="14" t="e">
        <f t="shared" si="8"/>
        <v>#NUM!</v>
      </c>
      <c r="G180" s="33">
        <f t="shared" si="7"/>
        <v>64823</v>
      </c>
      <c r="H180" s="34">
        <f>(IF('Modelos de TES'!$J$3='Base de datos '!E180,'Modelos de TES'!$K$3+'Modelos de TES'!$G$3,'Modelos de TES'!$K$3))/((1+'Modelos de TES'!$I$3)^('Base de datos '!G180/365))</f>
        <v>2501.5347502140171</v>
      </c>
      <c r="I180" s="36">
        <f>IF('Modelos de TES'!$J$3&gt;='Base de datos '!E180,'Base de datos '!H180,0)</f>
        <v>0</v>
      </c>
    </row>
    <row r="181" spans="5:9" x14ac:dyDescent="0.3">
      <c r="E181" s="13">
        <f t="shared" si="9"/>
        <v>179</v>
      </c>
      <c r="F181" s="14" t="e">
        <f t="shared" si="8"/>
        <v>#NUM!</v>
      </c>
      <c r="G181" s="33">
        <f t="shared" si="7"/>
        <v>65188</v>
      </c>
      <c r="H181" s="34">
        <f>(IF('Modelos de TES'!$J$3='Base de datos '!E181,'Modelos de TES'!$K$3+'Modelos de TES'!$G$3,'Modelos de TES'!$K$3))/((1+'Modelos de TES'!$I$3)^('Base de datos '!G181/365))</f>
        <v>2382.4140478228733</v>
      </c>
      <c r="I181" s="36">
        <f>IF('Modelos de TES'!$J$3&gt;='Base de datos '!E181,'Base de datos '!H181,0)</f>
        <v>0</v>
      </c>
    </row>
    <row r="182" spans="5:9" x14ac:dyDescent="0.3">
      <c r="E182" s="13">
        <f t="shared" si="9"/>
        <v>180</v>
      </c>
      <c r="F182" s="14" t="e">
        <f t="shared" si="8"/>
        <v>#NUM!</v>
      </c>
      <c r="G182" s="33">
        <f t="shared" si="7"/>
        <v>65553</v>
      </c>
      <c r="H182" s="34">
        <f>(IF('Modelos de TES'!$J$3='Base de datos '!E182,'Modelos de TES'!$K$3+'Modelos de TES'!$G$3,'Modelos de TES'!$K$3))/((1+'Modelos de TES'!$I$3)^('Base de datos '!G182/365))</f>
        <v>2268.965759831307</v>
      </c>
      <c r="I182" s="36">
        <f>IF('Modelos de TES'!$J$3&gt;='Base de datos '!E182,'Base de datos '!H182,0)</f>
        <v>0</v>
      </c>
    </row>
    <row r="183" spans="5:9" x14ac:dyDescent="0.3">
      <c r="E183" s="13">
        <f t="shared" si="9"/>
        <v>181</v>
      </c>
      <c r="F183" s="14" t="e">
        <f t="shared" si="8"/>
        <v>#NUM!</v>
      </c>
      <c r="G183" s="33">
        <f t="shared" si="7"/>
        <v>65918</v>
      </c>
      <c r="H183" s="34">
        <f>(IF('Modelos de TES'!$J$3='Base de datos '!E183,'Modelos de TES'!$K$3+'Modelos de TES'!$G$3,'Modelos de TES'!$K$3))/((1+'Modelos de TES'!$I$3)^('Base de datos '!G183/365))</f>
        <v>2160.9197712679115</v>
      </c>
      <c r="I183" s="36">
        <f>IF('Modelos de TES'!$J$3&gt;='Base de datos '!E183,'Base de datos '!H183,0)</f>
        <v>0</v>
      </c>
    </row>
    <row r="184" spans="5:9" x14ac:dyDescent="0.3">
      <c r="E184" s="13">
        <f t="shared" si="9"/>
        <v>182</v>
      </c>
      <c r="F184" s="14" t="e">
        <f t="shared" si="8"/>
        <v>#NUM!</v>
      </c>
      <c r="G184" s="33">
        <f t="shared" si="7"/>
        <v>66283</v>
      </c>
      <c r="H184" s="34">
        <f>(IF('Modelos de TES'!$J$3='Base de datos '!E184,'Modelos de TES'!$K$3+'Modelos de TES'!$G$3,'Modelos de TES'!$K$3))/((1+'Modelos de TES'!$I$3)^('Base de datos '!G184/365))</f>
        <v>2058.0188297789628</v>
      </c>
      <c r="I184" s="36">
        <f>IF('Modelos de TES'!$J$3&gt;='Base de datos '!E184,'Base de datos '!H184,0)</f>
        <v>0</v>
      </c>
    </row>
    <row r="185" spans="5:9" x14ac:dyDescent="0.3">
      <c r="E185" s="13">
        <f t="shared" si="9"/>
        <v>183</v>
      </c>
      <c r="F185" s="14" t="e">
        <f t="shared" si="8"/>
        <v>#NUM!</v>
      </c>
      <c r="G185" s="33">
        <f t="shared" si="7"/>
        <v>66648</v>
      </c>
      <c r="H185" s="34">
        <f>(IF('Modelos de TES'!$J$3='Base de datos '!E185,'Modelos de TES'!$K$3+'Modelos de TES'!$G$3,'Modelos de TES'!$K$3))/((1+'Modelos de TES'!$I$3)^('Base de datos '!G185/365))</f>
        <v>1960.0179331228214</v>
      </c>
      <c r="I185" s="36">
        <f>IF('Modelos de TES'!$J$3&gt;='Base de datos '!E185,'Base de datos '!H185,0)</f>
        <v>0</v>
      </c>
    </row>
    <row r="186" spans="5:9" x14ac:dyDescent="0.3">
      <c r="E186" s="13">
        <f t="shared" si="9"/>
        <v>184</v>
      </c>
      <c r="F186" s="14" t="e">
        <f t="shared" si="8"/>
        <v>#NUM!</v>
      </c>
      <c r="G186" s="33">
        <f t="shared" si="7"/>
        <v>67013</v>
      </c>
      <c r="H186" s="34">
        <f>(IF('Modelos de TES'!$J$3='Base de datos '!E186,'Modelos de TES'!$K$3+'Modelos de TES'!$G$3,'Modelos de TES'!$K$3))/((1+'Modelos de TES'!$I$3)^('Base de datos '!G186/365))</f>
        <v>1866.6837458312582</v>
      </c>
      <c r="I186" s="36">
        <f>IF('Modelos de TES'!$J$3&gt;='Base de datos '!E186,'Base de datos '!H186,0)</f>
        <v>0</v>
      </c>
    </row>
    <row r="187" spans="5:9" x14ac:dyDescent="0.3">
      <c r="E187" s="13">
        <f t="shared" si="9"/>
        <v>185</v>
      </c>
      <c r="F187" s="14" t="e">
        <f t="shared" si="8"/>
        <v>#NUM!</v>
      </c>
      <c r="G187" s="33">
        <f t="shared" si="7"/>
        <v>67378</v>
      </c>
      <c r="H187" s="34">
        <f>(IF('Modelos de TES'!$J$3='Base de datos '!E187,'Modelos de TES'!$K$3+'Modelos de TES'!$G$3,'Modelos de TES'!$K$3))/((1+'Modelos de TES'!$I$3)^('Base de datos '!G187/365))</f>
        <v>1777.794043648817</v>
      </c>
      <c r="I187" s="36">
        <f>IF('Modelos de TES'!$J$3&gt;='Base de datos '!E187,'Base de datos '!H187,0)</f>
        <v>0</v>
      </c>
    </row>
    <row r="188" spans="5:9" x14ac:dyDescent="0.3">
      <c r="E188" s="13">
        <f t="shared" si="9"/>
        <v>186</v>
      </c>
      <c r="F188" s="14" t="e">
        <f t="shared" si="8"/>
        <v>#NUM!</v>
      </c>
      <c r="G188" s="33">
        <f t="shared" si="7"/>
        <v>67743</v>
      </c>
      <c r="H188" s="34">
        <f>(IF('Modelos de TES'!$J$3='Base de datos '!E188,'Modelos de TES'!$K$3+'Modelos de TES'!$G$3,'Modelos de TES'!$K$3))/((1+'Modelos de TES'!$I$3)^('Base de datos '!G188/365))</f>
        <v>1693.1371844274447</v>
      </c>
      <c r="I188" s="36">
        <f>IF('Modelos de TES'!$J$3&gt;='Base de datos '!E188,'Base de datos '!H188,0)</f>
        <v>0</v>
      </c>
    </row>
    <row r="189" spans="5:9" x14ac:dyDescent="0.3">
      <c r="E189" s="13">
        <f t="shared" si="9"/>
        <v>187</v>
      </c>
      <c r="F189" s="14" t="e">
        <f t="shared" si="8"/>
        <v>#NUM!</v>
      </c>
      <c r="G189" s="33">
        <f t="shared" si="7"/>
        <v>68108</v>
      </c>
      <c r="H189" s="34">
        <f>(IF('Modelos de TES'!$J$3='Base de datos '!E189,'Modelos de TES'!$K$3+'Modelos de TES'!$G$3,'Modelos de TES'!$K$3))/((1+'Modelos de TES'!$I$3)^('Base de datos '!G189/365))</f>
        <v>1612.5116042166137</v>
      </c>
      <c r="I189" s="36">
        <f>IF('Modelos de TES'!$J$3&gt;='Base de datos '!E189,'Base de datos '!H189,0)</f>
        <v>0</v>
      </c>
    </row>
    <row r="190" spans="5:9" x14ac:dyDescent="0.3">
      <c r="E190" s="13">
        <f t="shared" si="9"/>
        <v>188</v>
      </c>
      <c r="F190" s="14" t="e">
        <f t="shared" si="8"/>
        <v>#NUM!</v>
      </c>
      <c r="G190" s="33">
        <f t="shared" si="7"/>
        <v>68473</v>
      </c>
      <c r="H190" s="34">
        <f>(IF('Modelos de TES'!$J$3='Base de datos '!E190,'Modelos de TES'!$K$3+'Modelos de TES'!$G$3,'Modelos de TES'!$K$3))/((1+'Modelos de TES'!$I$3)^('Base de datos '!G190/365))</f>
        <v>1535.7253373491558</v>
      </c>
      <c r="I190" s="36">
        <f>IF('Modelos de TES'!$J$3&gt;='Base de datos '!E190,'Base de datos '!H190,0)</f>
        <v>0</v>
      </c>
    </row>
    <row r="191" spans="5:9" x14ac:dyDescent="0.3">
      <c r="E191" s="13">
        <f t="shared" si="9"/>
        <v>189</v>
      </c>
      <c r="F191" s="14" t="e">
        <f t="shared" si="8"/>
        <v>#NUM!</v>
      </c>
      <c r="G191" s="33">
        <f t="shared" si="7"/>
        <v>68838</v>
      </c>
      <c r="H191" s="34">
        <f>(IF('Modelos de TES'!$J$3='Base de datos '!E191,'Modelos de TES'!$K$3+'Modelos de TES'!$G$3,'Modelos de TES'!$K$3))/((1+'Modelos de TES'!$I$3)^('Base de datos '!G191/365))</f>
        <v>1462.5955593801505</v>
      </c>
      <c r="I191" s="36">
        <f>IF('Modelos de TES'!$J$3&gt;='Base de datos '!E191,'Base de datos '!H191,0)</f>
        <v>0</v>
      </c>
    </row>
    <row r="192" spans="5:9" x14ac:dyDescent="0.3">
      <c r="E192" s="13">
        <f t="shared" si="9"/>
        <v>190</v>
      </c>
      <c r="F192" s="14" t="e">
        <f t="shared" si="8"/>
        <v>#NUM!</v>
      </c>
      <c r="G192" s="33">
        <f t="shared" si="7"/>
        <v>69203</v>
      </c>
      <c r="H192" s="34">
        <f>(IF('Modelos de TES'!$J$3='Base de datos '!E192,'Modelos de TES'!$K$3+'Modelos de TES'!$G$3,'Modelos de TES'!$K$3))/((1+'Modelos de TES'!$I$3)^('Base de datos '!G192/365))</f>
        <v>1392.9481517906195</v>
      </c>
      <c r="I192" s="36">
        <f>IF('Modelos de TES'!$J$3&gt;='Base de datos '!E192,'Base de datos '!H192,0)</f>
        <v>0</v>
      </c>
    </row>
    <row r="193" spans="5:9" x14ac:dyDescent="0.3">
      <c r="E193" s="13">
        <f t="shared" si="9"/>
        <v>191</v>
      </c>
      <c r="F193" s="14" t="e">
        <f t="shared" si="8"/>
        <v>#NUM!</v>
      </c>
      <c r="G193" s="33">
        <f t="shared" si="7"/>
        <v>69568</v>
      </c>
      <c r="H193" s="34">
        <f>(IF('Modelos de TES'!$J$3='Base de datos '!E193,'Modelos de TES'!$K$3+'Modelos de TES'!$G$3,'Modelos de TES'!$K$3))/((1+'Modelos de TES'!$I$3)^('Base de datos '!G193/365))</f>
        <v>1326.6172874196373</v>
      </c>
      <c r="I193" s="36">
        <f>IF('Modelos de TES'!$J$3&gt;='Base de datos '!E193,'Base de datos '!H193,0)</f>
        <v>0</v>
      </c>
    </row>
    <row r="194" spans="5:9" x14ac:dyDescent="0.3">
      <c r="E194" s="13">
        <f t="shared" si="9"/>
        <v>192</v>
      </c>
      <c r="F194" s="14" t="e">
        <f t="shared" si="8"/>
        <v>#NUM!</v>
      </c>
      <c r="G194" s="33">
        <f t="shared" si="7"/>
        <v>69933</v>
      </c>
      <c r="H194" s="34">
        <f>(IF('Modelos de TES'!$J$3='Base de datos '!E194,'Modelos de TES'!$K$3+'Modelos de TES'!$G$3,'Modelos de TES'!$K$3))/((1+'Modelos de TES'!$I$3)^('Base de datos '!G194/365))</f>
        <v>1263.4450356377497</v>
      </c>
      <c r="I194" s="36">
        <f>IF('Modelos de TES'!$J$3&gt;='Base de datos '!E194,'Base de datos '!H194,0)</f>
        <v>0</v>
      </c>
    </row>
    <row r="195" spans="5:9" x14ac:dyDescent="0.3">
      <c r="E195" s="13">
        <f t="shared" si="9"/>
        <v>193</v>
      </c>
      <c r="F195" s="14" t="e">
        <f t="shared" si="8"/>
        <v>#NUM!</v>
      </c>
      <c r="G195" s="33">
        <f t="shared" si="7"/>
        <v>70298</v>
      </c>
      <c r="H195" s="34">
        <f>(IF('Modelos de TES'!$J$3='Base de datos '!E195,'Modelos de TES'!$K$3+'Modelos de TES'!$G$3,'Modelos de TES'!$K$3))/((1+'Modelos de TES'!$I$3)^('Base de datos '!G195/365))</f>
        <v>1203.2809863216662</v>
      </c>
      <c r="I195" s="36">
        <f>IF('Modelos de TES'!$J$3&gt;='Base de datos '!E195,'Base de datos '!H195,0)</f>
        <v>0</v>
      </c>
    </row>
    <row r="196" spans="5:9" x14ac:dyDescent="0.3">
      <c r="E196" s="13">
        <f t="shared" si="9"/>
        <v>194</v>
      </c>
      <c r="F196" s="14" t="e">
        <f t="shared" si="8"/>
        <v>#NUM!</v>
      </c>
      <c r="G196" s="33">
        <f t="shared" si="7"/>
        <v>70663</v>
      </c>
      <c r="H196" s="34">
        <f>(IF('Modelos de TES'!$J$3='Base de datos '!E196,'Modelos de TES'!$K$3+'Modelos de TES'!$G$3,'Modelos de TES'!$K$3))/((1+'Modelos de TES'!$I$3)^('Base de datos '!G196/365))</f>
        <v>1145.9818917349198</v>
      </c>
      <c r="I196" s="36">
        <f>IF('Modelos de TES'!$J$3&gt;='Base de datos '!E196,'Base de datos '!H196,0)</f>
        <v>0</v>
      </c>
    </row>
    <row r="197" spans="5:9" x14ac:dyDescent="0.3">
      <c r="E197" s="13">
        <f t="shared" si="9"/>
        <v>195</v>
      </c>
      <c r="F197" s="14" t="e">
        <f t="shared" si="8"/>
        <v>#NUM!</v>
      </c>
      <c r="G197" s="33">
        <f t="shared" ref="G197:G260" si="10">G196+365</f>
        <v>71028</v>
      </c>
      <c r="H197" s="34">
        <f>(IF('Modelos de TES'!$J$3='Base de datos '!E197,'Modelos de TES'!$K$3+'Modelos de TES'!$G$3,'Modelos de TES'!$K$3))/((1+'Modelos de TES'!$I$3)^('Base de datos '!G197/365))</f>
        <v>1091.4113254618283</v>
      </c>
      <c r="I197" s="36">
        <f>IF('Modelos de TES'!$J$3&gt;='Base de datos '!E197,'Base de datos '!H197,0)</f>
        <v>0</v>
      </c>
    </row>
    <row r="198" spans="5:9" x14ac:dyDescent="0.3">
      <c r="E198" s="13">
        <f t="shared" si="9"/>
        <v>196</v>
      </c>
      <c r="F198" s="14" t="e">
        <f t="shared" si="8"/>
        <v>#NUM!</v>
      </c>
      <c r="G198" s="33">
        <f t="shared" si="10"/>
        <v>71393</v>
      </c>
      <c r="H198" s="34">
        <f>(IF('Modelos de TES'!$J$3='Base de datos '!E198,'Modelos de TES'!$K$3+'Modelos de TES'!$G$3,'Modelos de TES'!$K$3))/((1+'Modelos de TES'!$I$3)^('Base de datos '!G198/365))</f>
        <v>1039.4393575826934</v>
      </c>
      <c r="I198" s="36">
        <f>IF('Modelos de TES'!$J$3&gt;='Base de datos '!E198,'Base de datos '!H198,0)</f>
        <v>0</v>
      </c>
    </row>
    <row r="199" spans="5:9" x14ac:dyDescent="0.3">
      <c r="E199" s="13">
        <f t="shared" si="9"/>
        <v>197</v>
      </c>
      <c r="F199" s="14" t="e">
        <f t="shared" si="8"/>
        <v>#NUM!</v>
      </c>
      <c r="G199" s="33">
        <f t="shared" si="10"/>
        <v>71758</v>
      </c>
      <c r="H199" s="34">
        <f>(IF('Modelos de TES'!$J$3='Base de datos '!E199,'Modelos de TES'!$K$3+'Modelos de TES'!$G$3,'Modelos de TES'!$K$3))/((1+'Modelos de TES'!$I$3)^('Base de datos '!G199/365))</f>
        <v>989.94224531685074</v>
      </c>
      <c r="I199" s="36">
        <f>IF('Modelos de TES'!$J$3&gt;='Base de datos '!E199,'Base de datos '!H199,0)</f>
        <v>0</v>
      </c>
    </row>
    <row r="200" spans="5:9" x14ac:dyDescent="0.3">
      <c r="E200" s="13">
        <f t="shared" si="9"/>
        <v>198</v>
      </c>
      <c r="F200" s="14" t="e">
        <f t="shared" si="8"/>
        <v>#NUM!</v>
      </c>
      <c r="G200" s="33">
        <f t="shared" si="10"/>
        <v>72123</v>
      </c>
      <c r="H200" s="34">
        <f>(IF('Modelos de TES'!$J$3='Base de datos '!E200,'Modelos de TES'!$K$3+'Modelos de TES'!$G$3,'Modelos de TES'!$K$3))/((1+'Modelos de TES'!$I$3)^('Base de datos '!G200/365))</f>
        <v>942.8021383970007</v>
      </c>
      <c r="I200" s="36">
        <f>IF('Modelos de TES'!$J$3&gt;='Base de datos '!E200,'Base de datos '!H200,0)</f>
        <v>0</v>
      </c>
    </row>
    <row r="201" spans="5:9" x14ac:dyDescent="0.3">
      <c r="E201" s="13">
        <f t="shared" si="9"/>
        <v>199</v>
      </c>
      <c r="F201" s="14" t="e">
        <f t="shared" si="8"/>
        <v>#NUM!</v>
      </c>
      <c r="G201" s="33">
        <f t="shared" si="10"/>
        <v>72488</v>
      </c>
      <c r="H201" s="34">
        <f>(IF('Modelos de TES'!$J$3='Base de datos '!E201,'Modelos de TES'!$K$3+'Modelos de TES'!$G$3,'Modelos de TES'!$K$3))/((1+'Modelos de TES'!$I$3)^('Base de datos '!G201/365))</f>
        <v>897.90679847333377</v>
      </c>
      <c r="I201" s="36">
        <f>IF('Modelos de TES'!$J$3&gt;='Base de datos '!E201,'Base de datos '!H201,0)</f>
        <v>0</v>
      </c>
    </row>
    <row r="202" spans="5:9" x14ac:dyDescent="0.3">
      <c r="E202" s="13">
        <f t="shared" si="9"/>
        <v>200</v>
      </c>
      <c r="F202" s="14" t="e">
        <f t="shared" si="8"/>
        <v>#NUM!</v>
      </c>
      <c r="G202" s="33">
        <f t="shared" si="10"/>
        <v>72853</v>
      </c>
      <c r="H202" s="34">
        <f>(IF('Modelos de TES'!$J$3='Base de datos '!E202,'Modelos de TES'!$K$3+'Modelos de TES'!$G$3,'Modelos de TES'!$K$3))/((1+'Modelos de TES'!$I$3)^('Base de datos '!G202/365))</f>
        <v>855.14933187936526</v>
      </c>
      <c r="I202" s="36">
        <f>IF('Modelos de TES'!$J$3&gt;='Base de datos '!E202,'Base de datos '!H202,0)</f>
        <v>0</v>
      </c>
    </row>
    <row r="203" spans="5:9" x14ac:dyDescent="0.3">
      <c r="E203" s="13">
        <f t="shared" si="9"/>
        <v>201</v>
      </c>
      <c r="F203" s="14" t="e">
        <f t="shared" si="8"/>
        <v>#NUM!</v>
      </c>
      <c r="G203" s="33">
        <f t="shared" si="10"/>
        <v>73218</v>
      </c>
      <c r="H203" s="34">
        <f>(IF('Modelos de TES'!$J$3='Base de datos '!E203,'Modelos de TES'!$K$3+'Modelos de TES'!$G$3,'Modelos de TES'!$K$3))/((1+'Modelos de TES'!$I$3)^('Base de datos '!G203/365))</f>
        <v>814.42793512320497</v>
      </c>
      <c r="I203" s="36">
        <f>IF('Modelos de TES'!$J$3&gt;='Base de datos '!E203,'Base de datos '!H203,0)</f>
        <v>0</v>
      </c>
    </row>
    <row r="204" spans="5:9" x14ac:dyDescent="0.3">
      <c r="E204" s="13">
        <f t="shared" si="9"/>
        <v>202</v>
      </c>
      <c r="F204" s="14" t="e">
        <f t="shared" si="8"/>
        <v>#NUM!</v>
      </c>
      <c r="G204" s="33">
        <f t="shared" si="10"/>
        <v>73583</v>
      </c>
      <c r="H204" s="34">
        <f>(IF('Modelos de TES'!$J$3='Base de datos '!E204,'Modelos de TES'!$K$3+'Modelos de TES'!$G$3,'Modelos de TES'!$K$3))/((1+'Modelos de TES'!$I$3)^('Base de datos '!G204/365))</f>
        <v>775.64565249829036</v>
      </c>
      <c r="I204" s="36">
        <f>IF('Modelos de TES'!$J$3&gt;='Base de datos '!E204,'Base de datos '!H204,0)</f>
        <v>0</v>
      </c>
    </row>
    <row r="205" spans="5:9" x14ac:dyDescent="0.3">
      <c r="E205" s="13">
        <f t="shared" si="9"/>
        <v>203</v>
      </c>
      <c r="F205" s="14" t="e">
        <f t="shared" ref="F205:F268" si="11">COUPNCD(F204,$D$2,1,3)</f>
        <v>#NUM!</v>
      </c>
      <c r="G205" s="33">
        <f t="shared" si="10"/>
        <v>73948</v>
      </c>
      <c r="H205" s="34">
        <f>(IF('Modelos de TES'!$J$3='Base de datos '!E205,'Modelos de TES'!$K$3+'Modelos de TES'!$G$3,'Modelos de TES'!$K$3))/((1+'Modelos de TES'!$I$3)^('Base de datos '!G205/365))</f>
        <v>738.71014523646693</v>
      </c>
      <c r="I205" s="36">
        <f>IF('Modelos de TES'!$J$3&gt;='Base de datos '!E205,'Base de datos '!H205,0)</f>
        <v>0</v>
      </c>
    </row>
    <row r="206" spans="5:9" x14ac:dyDescent="0.3">
      <c r="E206" s="13">
        <f t="shared" ref="E206:E269" si="12">E205+1</f>
        <v>204</v>
      </c>
      <c r="F206" s="14" t="e">
        <f t="shared" si="11"/>
        <v>#NUM!</v>
      </c>
      <c r="G206" s="33">
        <f t="shared" si="10"/>
        <v>74313</v>
      </c>
      <c r="H206" s="34">
        <f>(IF('Modelos de TES'!$J$3='Base de datos '!E206,'Modelos de TES'!$K$3+'Modelos de TES'!$G$3,'Modelos de TES'!$K$3))/((1+'Modelos de TES'!$I$3)^('Base de datos '!G206/365))</f>
        <v>703.53347165377784</v>
      </c>
      <c r="I206" s="36">
        <f>IF('Modelos de TES'!$J$3&gt;='Base de datos '!E206,'Base de datos '!H206,0)</f>
        <v>0</v>
      </c>
    </row>
    <row r="207" spans="5:9" x14ac:dyDescent="0.3">
      <c r="E207" s="13">
        <f t="shared" si="12"/>
        <v>205</v>
      </c>
      <c r="F207" s="14" t="e">
        <f t="shared" si="11"/>
        <v>#NUM!</v>
      </c>
      <c r="G207" s="33">
        <f t="shared" si="10"/>
        <v>74678</v>
      </c>
      <c r="H207" s="34">
        <f>(IF('Modelos de TES'!$J$3='Base de datos '!E207,'Modelos de TES'!$K$3+'Modelos de TES'!$G$3,'Modelos de TES'!$K$3))/((1+'Modelos de TES'!$I$3)^('Base de datos '!G207/365))</f>
        <v>670.03187776550385</v>
      </c>
      <c r="I207" s="36">
        <f>IF('Modelos de TES'!$J$3&gt;='Base de datos '!E207,'Base de datos '!H207,0)</f>
        <v>0</v>
      </c>
    </row>
    <row r="208" spans="5:9" x14ac:dyDescent="0.3">
      <c r="E208" s="13">
        <f t="shared" si="12"/>
        <v>206</v>
      </c>
      <c r="F208" s="14" t="e">
        <f t="shared" si="11"/>
        <v>#NUM!</v>
      </c>
      <c r="G208" s="33">
        <f t="shared" si="10"/>
        <v>75043</v>
      </c>
      <c r="H208" s="34">
        <f>(IF('Modelos de TES'!$J$3='Base de datos '!E208,'Modelos de TES'!$K$3+'Modelos de TES'!$G$3,'Modelos de TES'!$K$3))/((1+'Modelos de TES'!$I$3)^('Base de datos '!G208/365))</f>
        <v>638.12559787190833</v>
      </c>
      <c r="I208" s="36">
        <f>IF('Modelos de TES'!$J$3&gt;='Base de datos '!E208,'Base de datos '!H208,0)</f>
        <v>0</v>
      </c>
    </row>
    <row r="209" spans="5:9" x14ac:dyDescent="0.3">
      <c r="E209" s="13">
        <f t="shared" si="12"/>
        <v>207</v>
      </c>
      <c r="F209" s="14" t="e">
        <f t="shared" si="11"/>
        <v>#NUM!</v>
      </c>
      <c r="G209" s="33">
        <f t="shared" si="10"/>
        <v>75408</v>
      </c>
      <c r="H209" s="34">
        <f>(IF('Modelos de TES'!$J$3='Base de datos '!E209,'Modelos de TES'!$K$3+'Modelos de TES'!$G$3,'Modelos de TES'!$K$3))/((1+'Modelos de TES'!$I$3)^('Base de datos '!G209/365))</f>
        <v>607.7386646399126</v>
      </c>
      <c r="I209" s="36">
        <f>IF('Modelos de TES'!$J$3&gt;='Base de datos '!E209,'Base de datos '!H209,0)</f>
        <v>0</v>
      </c>
    </row>
    <row r="210" spans="5:9" x14ac:dyDescent="0.3">
      <c r="E210" s="13">
        <f t="shared" si="12"/>
        <v>208</v>
      </c>
      <c r="F210" s="14" t="e">
        <f t="shared" si="11"/>
        <v>#NUM!</v>
      </c>
      <c r="G210" s="33">
        <f t="shared" si="10"/>
        <v>75773</v>
      </c>
      <c r="H210" s="34">
        <f>(IF('Modelos de TES'!$J$3='Base de datos '!E210,'Modelos de TES'!$K$3+'Modelos de TES'!$G$3,'Modelos de TES'!$K$3))/((1+'Modelos de TES'!$I$3)^('Base de datos '!G210/365))</f>
        <v>578.79872822848802</v>
      </c>
      <c r="I210" s="36">
        <f>IF('Modelos de TES'!$J$3&gt;='Base de datos '!E210,'Base de datos '!H210,0)</f>
        <v>0</v>
      </c>
    </row>
    <row r="211" spans="5:9" x14ac:dyDescent="0.3">
      <c r="E211" s="13">
        <f t="shared" si="12"/>
        <v>209</v>
      </c>
      <c r="F211" s="14" t="e">
        <f t="shared" si="11"/>
        <v>#NUM!</v>
      </c>
      <c r="G211" s="33">
        <f t="shared" si="10"/>
        <v>76138</v>
      </c>
      <c r="H211" s="34">
        <f>(IF('Modelos de TES'!$J$3='Base de datos '!E211,'Modelos de TES'!$K$3+'Modelos de TES'!$G$3,'Modelos de TES'!$K$3))/((1+'Modelos de TES'!$I$3)^('Base de datos '!G211/365))</f>
        <v>551.2368840271314</v>
      </c>
      <c r="I211" s="36">
        <f>IF('Modelos de TES'!$J$3&gt;='Base de datos '!E211,'Base de datos '!H211,0)</f>
        <v>0</v>
      </c>
    </row>
    <row r="212" spans="5:9" x14ac:dyDescent="0.3">
      <c r="E212" s="13">
        <f t="shared" si="12"/>
        <v>210</v>
      </c>
      <c r="F212" s="14" t="e">
        <f t="shared" si="11"/>
        <v>#NUM!</v>
      </c>
      <c r="G212" s="33">
        <f t="shared" si="10"/>
        <v>76503</v>
      </c>
      <c r="H212" s="34">
        <f>(IF('Modelos de TES'!$J$3='Base de datos '!E212,'Modelos de TES'!$K$3+'Modelos de TES'!$G$3,'Modelos de TES'!$K$3))/((1+'Modelos de TES'!$I$3)^('Base de datos '!G212/365))</f>
        <v>524.98750859726783</v>
      </c>
      <c r="I212" s="36">
        <f>IF('Modelos de TES'!$J$3&gt;='Base de datos '!E212,'Base de datos '!H212,0)</f>
        <v>0</v>
      </c>
    </row>
    <row r="213" spans="5:9" x14ac:dyDescent="0.3">
      <c r="E213" s="13">
        <f t="shared" si="12"/>
        <v>211</v>
      </c>
      <c r="F213" s="14" t="e">
        <f t="shared" si="11"/>
        <v>#NUM!</v>
      </c>
      <c r="G213" s="33">
        <f t="shared" si="10"/>
        <v>76868</v>
      </c>
      <c r="H213" s="34">
        <f>(IF('Modelos de TES'!$J$3='Base de datos '!E213,'Modelos de TES'!$K$3+'Modelos de TES'!$G$3,'Modelos de TES'!$K$3))/((1+'Modelos de TES'!$I$3)^('Base de datos '!G213/365))</f>
        <v>499.98810342596937</v>
      </c>
      <c r="I213" s="36">
        <f>IF('Modelos de TES'!$J$3&gt;='Base de datos '!E213,'Base de datos '!H213,0)</f>
        <v>0</v>
      </c>
    </row>
    <row r="214" spans="5:9" x14ac:dyDescent="0.3">
      <c r="E214" s="13">
        <f t="shared" si="12"/>
        <v>212</v>
      </c>
      <c r="F214" s="14" t="e">
        <f t="shared" si="11"/>
        <v>#NUM!</v>
      </c>
      <c r="G214" s="33">
        <f t="shared" si="10"/>
        <v>77233</v>
      </c>
      <c r="H214" s="34">
        <f>(IF('Modelos de TES'!$J$3='Base de datos '!E214,'Modelos de TES'!$K$3+'Modelos de TES'!$G$3,'Modelos de TES'!$K$3))/((1+'Modelos de TES'!$I$3)^('Base de datos '!G214/365))</f>
        <v>476.17914611997071</v>
      </c>
      <c r="I214" s="36">
        <f>IF('Modelos de TES'!$J$3&gt;='Base de datos '!E214,'Base de datos '!H214,0)</f>
        <v>0</v>
      </c>
    </row>
    <row r="215" spans="5:9" x14ac:dyDescent="0.3">
      <c r="E215" s="13">
        <f t="shared" si="12"/>
        <v>213</v>
      </c>
      <c r="F215" s="14" t="e">
        <f t="shared" si="11"/>
        <v>#NUM!</v>
      </c>
      <c r="G215" s="33">
        <f t="shared" si="10"/>
        <v>77598</v>
      </c>
      <c r="H215" s="34">
        <f>(IF('Modelos de TES'!$J$3='Base de datos '!E215,'Modelos de TES'!$K$3+'Modelos de TES'!$G$3,'Modelos de TES'!$K$3))/((1+'Modelos de TES'!$I$3)^('Base de datos '!G215/365))</f>
        <v>453.50394868568634</v>
      </c>
      <c r="I215" s="36">
        <f>IF('Modelos de TES'!$J$3&gt;='Base de datos '!E215,'Base de datos '!H215,0)</f>
        <v>0</v>
      </c>
    </row>
    <row r="216" spans="5:9" x14ac:dyDescent="0.3">
      <c r="E216" s="13">
        <f t="shared" si="12"/>
        <v>214</v>
      </c>
      <c r="F216" s="14" t="e">
        <f t="shared" si="11"/>
        <v>#NUM!</v>
      </c>
      <c r="G216" s="33">
        <f t="shared" si="10"/>
        <v>77963</v>
      </c>
      <c r="H216" s="34">
        <f>(IF('Modelos de TES'!$J$3='Base de datos '!E216,'Modelos de TES'!$K$3+'Modelos de TES'!$G$3,'Modelos de TES'!$K$3))/((1+'Modelos de TES'!$I$3)^('Base de datos '!G216/365))</f>
        <v>431.90852255779652</v>
      </c>
      <c r="I216" s="36">
        <f>IF('Modelos de TES'!$J$3&gt;='Base de datos '!E216,'Base de datos '!H216,0)</f>
        <v>0</v>
      </c>
    </row>
    <row r="217" spans="5:9" x14ac:dyDescent="0.3">
      <c r="E217" s="13">
        <f t="shared" si="12"/>
        <v>215</v>
      </c>
      <c r="F217" s="14" t="e">
        <f t="shared" si="11"/>
        <v>#NUM!</v>
      </c>
      <c r="G217" s="33">
        <f t="shared" si="10"/>
        <v>78328</v>
      </c>
      <c r="H217" s="34">
        <f>(IF('Modelos de TES'!$J$3='Base de datos '!E217,'Modelos de TES'!$K$3+'Modelos de TES'!$G$3,'Modelos de TES'!$K$3))/((1+'Modelos de TES'!$I$3)^('Base de datos '!G217/365))</f>
        <v>411.34145005504422</v>
      </c>
      <c r="I217" s="36">
        <f>IF('Modelos de TES'!$J$3&gt;='Base de datos '!E217,'Base de datos '!H217,0)</f>
        <v>0</v>
      </c>
    </row>
    <row r="218" spans="5:9" x14ac:dyDescent="0.3">
      <c r="E218" s="13">
        <f t="shared" si="12"/>
        <v>216</v>
      </c>
      <c r="F218" s="14" t="e">
        <f t="shared" si="11"/>
        <v>#NUM!</v>
      </c>
      <c r="G218" s="33">
        <f t="shared" si="10"/>
        <v>78693</v>
      </c>
      <c r="H218" s="34">
        <f>(IF('Modelos de TES'!$J$3='Base de datos '!E218,'Modelos de TES'!$K$3+'Modelos de TES'!$G$3,'Modelos de TES'!$K$3))/((1+'Modelos de TES'!$I$3)^('Base de datos '!G218/365))</f>
        <v>391.75376195718491</v>
      </c>
      <c r="I218" s="36">
        <f>IF('Modelos de TES'!$J$3&gt;='Base de datos '!E218,'Base de datos '!H218,0)</f>
        <v>0</v>
      </c>
    </row>
    <row r="219" spans="5:9" x14ac:dyDescent="0.3">
      <c r="E219" s="13">
        <f t="shared" si="12"/>
        <v>217</v>
      </c>
      <c r="F219" s="14" t="e">
        <f t="shared" si="11"/>
        <v>#NUM!</v>
      </c>
      <c r="G219" s="33">
        <f t="shared" si="10"/>
        <v>79058</v>
      </c>
      <c r="H219" s="34">
        <f>(IF('Modelos de TES'!$J$3='Base de datos '!E219,'Modelos de TES'!$K$3+'Modelos de TES'!$G$3,'Modelos de TES'!$K$3))/((1+'Modelos de TES'!$I$3)^('Base de datos '!G219/365))</f>
        <v>373.09882091160461</v>
      </c>
      <c r="I219" s="36">
        <f>IF('Modelos de TES'!$J$3&gt;='Base de datos '!E219,'Base de datos '!H219,0)</f>
        <v>0</v>
      </c>
    </row>
    <row r="220" spans="5:9" x14ac:dyDescent="0.3">
      <c r="E220" s="13">
        <f t="shared" si="12"/>
        <v>218</v>
      </c>
      <c r="F220" s="14" t="e">
        <f t="shared" si="11"/>
        <v>#NUM!</v>
      </c>
      <c r="G220" s="33">
        <f t="shared" si="10"/>
        <v>79423</v>
      </c>
      <c r="H220" s="34">
        <f>(IF('Modelos de TES'!$J$3='Base de datos '!E220,'Modelos de TES'!$K$3+'Modelos de TES'!$G$3,'Modelos de TES'!$K$3))/((1+'Modelos de TES'!$I$3)^('Base de datos '!G220/365))</f>
        <v>355.3322103920043</v>
      </c>
      <c r="I220" s="36">
        <f>IF('Modelos de TES'!$J$3&gt;='Base de datos '!E220,'Base de datos '!H220,0)</f>
        <v>0</v>
      </c>
    </row>
    <row r="221" spans="5:9" x14ac:dyDescent="0.3">
      <c r="E221" s="13">
        <f t="shared" si="12"/>
        <v>219</v>
      </c>
      <c r="F221" s="14" t="e">
        <f t="shared" si="11"/>
        <v>#NUM!</v>
      </c>
      <c r="G221" s="33">
        <f t="shared" si="10"/>
        <v>79788</v>
      </c>
      <c r="H221" s="34">
        <f>(IF('Modelos de TES'!$J$3='Base de datos '!E221,'Modelos de TES'!$K$3+'Modelos de TES'!$G$3,'Modelos de TES'!$K$3))/((1+'Modelos de TES'!$I$3)^('Base de datos '!G221/365))</f>
        <v>338.41162894476594</v>
      </c>
      <c r="I221" s="36">
        <f>IF('Modelos de TES'!$J$3&gt;='Base de datos '!E221,'Base de datos '!H221,0)</f>
        <v>0</v>
      </c>
    </row>
    <row r="222" spans="5:9" x14ac:dyDescent="0.3">
      <c r="E222" s="13">
        <f t="shared" si="12"/>
        <v>220</v>
      </c>
      <c r="F222" s="14" t="e">
        <f t="shared" si="11"/>
        <v>#NUM!</v>
      </c>
      <c r="G222" s="33">
        <f t="shared" si="10"/>
        <v>80153</v>
      </c>
      <c r="H222" s="34">
        <f>(IF('Modelos de TES'!$J$3='Base de datos '!E222,'Modelos de TES'!$K$3+'Modelos de TES'!$G$3,'Modelos de TES'!$K$3))/((1+'Modelos de TES'!$I$3)^('Base de datos '!G222/365))</f>
        <v>322.29678947120561</v>
      </c>
      <c r="I222" s="36">
        <f>IF('Modelos de TES'!$J$3&gt;='Base de datos '!E222,'Base de datos '!H222,0)</f>
        <v>0</v>
      </c>
    </row>
    <row r="223" spans="5:9" x14ac:dyDescent="0.3">
      <c r="E223" s="13">
        <f t="shared" si="12"/>
        <v>221</v>
      </c>
      <c r="F223" s="14" t="e">
        <f t="shared" si="11"/>
        <v>#NUM!</v>
      </c>
      <c r="G223" s="33">
        <f t="shared" si="10"/>
        <v>80518</v>
      </c>
      <c r="H223" s="34">
        <f>(IF('Modelos de TES'!$J$3='Base de datos '!E223,'Modelos de TES'!$K$3+'Modelos de TES'!$G$3,'Modelos de TES'!$K$3))/((1+'Modelos de TES'!$I$3)^('Base de datos '!G223/365))</f>
        <v>306.94932330591058</v>
      </c>
      <c r="I223" s="36">
        <f>IF('Modelos de TES'!$J$3&gt;='Base de datos '!E223,'Base de datos '!H223,0)</f>
        <v>0</v>
      </c>
    </row>
    <row r="224" spans="5:9" x14ac:dyDescent="0.3">
      <c r="E224" s="13">
        <f t="shared" si="12"/>
        <v>222</v>
      </c>
      <c r="F224" s="14" t="e">
        <f t="shared" si="11"/>
        <v>#NUM!</v>
      </c>
      <c r="G224" s="33">
        <f t="shared" si="10"/>
        <v>80883</v>
      </c>
      <c r="H224" s="34">
        <f>(IF('Modelos de TES'!$J$3='Base de datos '!E224,'Modelos de TES'!$K$3+'Modelos de TES'!$G$3,'Modelos de TES'!$K$3))/((1+'Modelos de TES'!$I$3)^('Base de datos '!G224/365))</f>
        <v>292.33268886277199</v>
      </c>
      <c r="I224" s="36">
        <f>IF('Modelos de TES'!$J$3&gt;='Base de datos '!E224,'Base de datos '!H224,0)</f>
        <v>0</v>
      </c>
    </row>
    <row r="225" spans="5:9" x14ac:dyDescent="0.3">
      <c r="E225" s="13">
        <f t="shared" si="12"/>
        <v>223</v>
      </c>
      <c r="F225" s="14" t="e">
        <f t="shared" si="11"/>
        <v>#NUM!</v>
      </c>
      <c r="G225" s="33">
        <f t="shared" si="10"/>
        <v>81248</v>
      </c>
      <c r="H225" s="34">
        <f>(IF('Modelos de TES'!$J$3='Base de datos '!E225,'Modelos de TES'!$K$3+'Modelos de TES'!$G$3,'Modelos de TES'!$K$3))/((1+'Modelos de TES'!$I$3)^('Base de datos '!G225/365))</f>
        <v>278.41208463121137</v>
      </c>
      <c r="I225" s="36">
        <f>IF('Modelos de TES'!$J$3&gt;='Base de datos '!E225,'Base de datos '!H225,0)</f>
        <v>0</v>
      </c>
    </row>
    <row r="226" spans="5:9" x14ac:dyDescent="0.3">
      <c r="E226" s="13">
        <f t="shared" si="12"/>
        <v>224</v>
      </c>
      <c r="F226" s="14" t="e">
        <f t="shared" si="11"/>
        <v>#NUM!</v>
      </c>
      <c r="G226" s="33">
        <f t="shared" si="10"/>
        <v>81613</v>
      </c>
      <c r="H226" s="34">
        <f>(IF('Modelos de TES'!$J$3='Base de datos '!E226,'Modelos de TES'!$K$3+'Modelos de TES'!$G$3,'Modelos de TES'!$K$3))/((1+'Modelos de TES'!$I$3)^('Base de datos '!G226/365))</f>
        <v>265.15436631543935</v>
      </c>
      <c r="I226" s="36">
        <f>IF('Modelos de TES'!$J$3&gt;='Base de datos '!E226,'Base de datos '!H226,0)</f>
        <v>0</v>
      </c>
    </row>
    <row r="227" spans="5:9" x14ac:dyDescent="0.3">
      <c r="E227" s="13">
        <f t="shared" si="12"/>
        <v>225</v>
      </c>
      <c r="F227" s="14" t="e">
        <f t="shared" si="11"/>
        <v>#NUM!</v>
      </c>
      <c r="G227" s="33">
        <f t="shared" si="10"/>
        <v>81978</v>
      </c>
      <c r="H227" s="34">
        <f>(IF('Modelos de TES'!$J$3='Base de datos '!E227,'Modelos de TES'!$K$3+'Modelos de TES'!$G$3,'Modelos de TES'!$K$3))/((1+'Modelos de TES'!$I$3)^('Base de datos '!G227/365))</f>
        <v>252.52796791946599</v>
      </c>
      <c r="I227" s="36">
        <f>IF('Modelos de TES'!$J$3&gt;='Base de datos '!E227,'Base de datos '!H227,0)</f>
        <v>0</v>
      </c>
    </row>
    <row r="228" spans="5:9" x14ac:dyDescent="0.3">
      <c r="E228" s="13">
        <f t="shared" si="12"/>
        <v>226</v>
      </c>
      <c r="F228" s="14" t="e">
        <f t="shared" si="11"/>
        <v>#NUM!</v>
      </c>
      <c r="G228" s="33">
        <f t="shared" si="10"/>
        <v>82343</v>
      </c>
      <c r="H228" s="34">
        <f>(IF('Modelos de TES'!$J$3='Base de datos '!E228,'Modelos de TES'!$K$3+'Modelos de TES'!$G$3,'Modelos de TES'!$K$3))/((1+'Modelos de TES'!$I$3)^('Base de datos '!G228/365))</f>
        <v>240.50282658996758</v>
      </c>
      <c r="I228" s="36">
        <f>IF('Modelos de TES'!$J$3&gt;='Base de datos '!E228,'Base de datos '!H228,0)</f>
        <v>0</v>
      </c>
    </row>
    <row r="229" spans="5:9" x14ac:dyDescent="0.3">
      <c r="E229" s="13">
        <f t="shared" si="12"/>
        <v>227</v>
      </c>
      <c r="F229" s="14" t="e">
        <f t="shared" si="11"/>
        <v>#NUM!</v>
      </c>
      <c r="G229" s="33">
        <f t="shared" si="10"/>
        <v>82708</v>
      </c>
      <c r="H229" s="34">
        <f>(IF('Modelos de TES'!$J$3='Base de datos '!E229,'Modelos de TES'!$K$3+'Modelos de TES'!$G$3,'Modelos de TES'!$K$3))/((1+'Modelos de TES'!$I$3)^('Base de datos '!G229/365))</f>
        <v>229.05031103806434</v>
      </c>
      <c r="I229" s="36">
        <f>IF('Modelos de TES'!$J$3&gt;='Base de datos '!E229,'Base de datos '!H229,0)</f>
        <v>0</v>
      </c>
    </row>
    <row r="230" spans="5:9" x14ac:dyDescent="0.3">
      <c r="E230" s="13">
        <f t="shared" si="12"/>
        <v>228</v>
      </c>
      <c r="F230" s="14" t="e">
        <f t="shared" si="11"/>
        <v>#NUM!</v>
      </c>
      <c r="G230" s="33">
        <f t="shared" si="10"/>
        <v>83073</v>
      </c>
      <c r="H230" s="34">
        <f>(IF('Modelos de TES'!$J$3='Base de datos '!E230,'Modelos de TES'!$K$3+'Modelos de TES'!$G$3,'Modelos de TES'!$K$3))/((1+'Modelos de TES'!$I$3)^('Base de datos '!G230/365))</f>
        <v>218.14315336958504</v>
      </c>
      <c r="I230" s="36">
        <f>IF('Modelos de TES'!$J$3&gt;='Base de datos '!E230,'Base de datos '!H230,0)</f>
        <v>0</v>
      </c>
    </row>
    <row r="231" spans="5:9" x14ac:dyDescent="0.3">
      <c r="E231" s="13">
        <f t="shared" si="12"/>
        <v>229</v>
      </c>
      <c r="F231" s="14" t="e">
        <f t="shared" si="11"/>
        <v>#NUM!</v>
      </c>
      <c r="G231" s="33">
        <f t="shared" si="10"/>
        <v>83438</v>
      </c>
      <c r="H231" s="34">
        <f>(IF('Modelos de TES'!$J$3='Base de datos '!E231,'Modelos de TES'!$K$3+'Modelos de TES'!$G$3,'Modelos de TES'!$K$3))/((1+'Modelos de TES'!$I$3)^('Base de datos '!G231/365))</f>
        <v>207.75538416150954</v>
      </c>
      <c r="I231" s="36">
        <f>IF('Modelos de TES'!$J$3&gt;='Base de datos '!E231,'Base de datos '!H231,0)</f>
        <v>0</v>
      </c>
    </row>
    <row r="232" spans="5:9" x14ac:dyDescent="0.3">
      <c r="E232" s="13">
        <f t="shared" si="12"/>
        <v>230</v>
      </c>
      <c r="F232" s="14" t="e">
        <f t="shared" si="11"/>
        <v>#NUM!</v>
      </c>
      <c r="G232" s="33">
        <f t="shared" si="10"/>
        <v>83803</v>
      </c>
      <c r="H232" s="34">
        <f>(IF('Modelos de TES'!$J$3='Base de datos '!E232,'Modelos de TES'!$K$3+'Modelos de TES'!$G$3,'Modelos de TES'!$K$3))/((1+'Modelos de TES'!$I$3)^('Base de datos '!G232/365))</f>
        <v>197.86227063000905</v>
      </c>
      <c r="I232" s="36">
        <f>IF('Modelos de TES'!$J$3&gt;='Base de datos '!E232,'Base de datos '!H232,0)</f>
        <v>0</v>
      </c>
    </row>
    <row r="233" spans="5:9" x14ac:dyDescent="0.3">
      <c r="E233" s="13">
        <f t="shared" si="12"/>
        <v>231</v>
      </c>
      <c r="F233" s="14" t="e">
        <f t="shared" si="11"/>
        <v>#NUM!</v>
      </c>
      <c r="G233" s="33">
        <f t="shared" si="10"/>
        <v>84168</v>
      </c>
      <c r="H233" s="34">
        <f>(IF('Modelos de TES'!$J$3='Base de datos '!E233,'Modelos de TES'!$K$3+'Modelos de TES'!$G$3,'Modelos de TES'!$K$3))/((1+'Modelos de TES'!$I$3)^('Base de datos '!G233/365))</f>
        <v>188.44025774286575</v>
      </c>
      <c r="I233" s="36">
        <f>IF('Modelos de TES'!$J$3&gt;='Base de datos '!E233,'Base de datos '!H233,0)</f>
        <v>0</v>
      </c>
    </row>
    <row r="234" spans="5:9" x14ac:dyDescent="0.3">
      <c r="E234" s="13">
        <f t="shared" si="12"/>
        <v>232</v>
      </c>
      <c r="F234" s="14" t="e">
        <f t="shared" si="11"/>
        <v>#NUM!</v>
      </c>
      <c r="G234" s="33">
        <f t="shared" si="10"/>
        <v>84533</v>
      </c>
      <c r="H234" s="34">
        <f>(IF('Modelos de TES'!$J$3='Base de datos '!E234,'Modelos de TES'!$K$3+'Modelos de TES'!$G$3,'Modelos de TES'!$K$3))/((1+'Modelos de TES'!$I$3)^('Base de datos '!G234/365))</f>
        <v>179.46691213606258</v>
      </c>
      <c r="I234" s="36">
        <f>IF('Modelos de TES'!$J$3&gt;='Base de datos '!E234,'Base de datos '!H234,0)</f>
        <v>0</v>
      </c>
    </row>
    <row r="235" spans="5:9" x14ac:dyDescent="0.3">
      <c r="E235" s="13">
        <f t="shared" si="12"/>
        <v>233</v>
      </c>
      <c r="F235" s="14" t="e">
        <f t="shared" si="11"/>
        <v>#NUM!</v>
      </c>
      <c r="G235" s="33">
        <f t="shared" si="10"/>
        <v>84898</v>
      </c>
      <c r="H235" s="34">
        <f>(IF('Modelos de TES'!$J$3='Base de datos '!E235,'Modelos de TES'!$K$3+'Modelos de TES'!$G$3,'Modelos de TES'!$K$3))/((1+'Modelos de TES'!$I$3)^('Base de datos '!G235/365))</f>
        <v>170.92086870101195</v>
      </c>
      <c r="I235" s="36">
        <f>IF('Modelos de TES'!$J$3&gt;='Base de datos '!E235,'Base de datos '!H235,0)</f>
        <v>0</v>
      </c>
    </row>
    <row r="236" spans="5:9" x14ac:dyDescent="0.3">
      <c r="E236" s="13">
        <f t="shared" si="12"/>
        <v>234</v>
      </c>
      <c r="F236" s="14" t="e">
        <f t="shared" si="11"/>
        <v>#NUM!</v>
      </c>
      <c r="G236" s="33">
        <f t="shared" si="10"/>
        <v>85263</v>
      </c>
      <c r="H236" s="34">
        <f>(IF('Modelos de TES'!$J$3='Base de datos '!E236,'Modelos de TES'!$K$3+'Modelos de TES'!$G$3,'Modelos de TES'!$K$3))/((1+'Modelos de TES'!$I$3)^('Base de datos '!G236/365))</f>
        <v>162.78177971524946</v>
      </c>
      <c r="I236" s="36">
        <f>IF('Modelos de TES'!$J$3&gt;='Base de datos '!E236,'Base de datos '!H236,0)</f>
        <v>0</v>
      </c>
    </row>
    <row r="237" spans="5:9" x14ac:dyDescent="0.3">
      <c r="E237" s="13">
        <f t="shared" si="12"/>
        <v>235</v>
      </c>
      <c r="F237" s="14" t="e">
        <f t="shared" si="11"/>
        <v>#NUM!</v>
      </c>
      <c r="G237" s="33">
        <f t="shared" si="10"/>
        <v>85628</v>
      </c>
      <c r="H237" s="34">
        <f>(IF('Modelos de TES'!$J$3='Base de datos '!E237,'Modelos de TES'!$K$3+'Modelos de TES'!$G$3,'Modelos de TES'!$K$3))/((1+'Modelos de TES'!$I$3)^('Base de datos '!G237/365))</f>
        <v>155.03026639547562</v>
      </c>
      <c r="I237" s="36">
        <f>IF('Modelos de TES'!$J$3&gt;='Base de datos '!E237,'Base de datos '!H237,0)</f>
        <v>0</v>
      </c>
    </row>
    <row r="238" spans="5:9" x14ac:dyDescent="0.3">
      <c r="E238" s="13">
        <f t="shared" si="12"/>
        <v>236</v>
      </c>
      <c r="F238" s="14" t="e">
        <f t="shared" si="11"/>
        <v>#NUM!</v>
      </c>
      <c r="G238" s="33">
        <f t="shared" si="10"/>
        <v>85993</v>
      </c>
      <c r="H238" s="34">
        <f>(IF('Modelos de TES'!$J$3='Base de datos '!E238,'Modelos de TES'!$K$3+'Modelos de TES'!$G$3,'Modelos de TES'!$K$3))/((1+'Modelos de TES'!$I$3)^('Base de datos '!G238/365))</f>
        <v>147.64787275759582</v>
      </c>
      <c r="I238" s="36">
        <f>IF('Modelos de TES'!$J$3&gt;='Base de datos '!E238,'Base de datos '!H238,0)</f>
        <v>0</v>
      </c>
    </row>
    <row r="239" spans="5:9" x14ac:dyDescent="0.3">
      <c r="E239" s="13">
        <f t="shared" si="12"/>
        <v>237</v>
      </c>
      <c r="F239" s="14" t="e">
        <f t="shared" si="11"/>
        <v>#NUM!</v>
      </c>
      <c r="G239" s="33">
        <f t="shared" si="10"/>
        <v>86358</v>
      </c>
      <c r="H239" s="34">
        <f>(IF('Modelos de TES'!$J$3='Base de datos '!E239,'Modelos de TES'!$K$3+'Modelos de TES'!$G$3,'Modelos de TES'!$K$3))/((1+'Modelos de TES'!$I$3)^('Base de datos '!G239/365))</f>
        <v>140.61702167390101</v>
      </c>
      <c r="I239" s="36">
        <f>IF('Modelos de TES'!$J$3&gt;='Base de datos '!E239,'Base de datos '!H239,0)</f>
        <v>0</v>
      </c>
    </row>
    <row r="240" spans="5:9" x14ac:dyDescent="0.3">
      <c r="E240" s="13">
        <f t="shared" si="12"/>
        <v>238</v>
      </c>
      <c r="F240" s="14" t="e">
        <f t="shared" si="11"/>
        <v>#NUM!</v>
      </c>
      <c r="G240" s="33">
        <f t="shared" si="10"/>
        <v>86723</v>
      </c>
      <c r="H240" s="34">
        <f>(IF('Modelos de TES'!$J$3='Base de datos '!E240,'Modelos de TES'!$K$3+'Modelos de TES'!$G$3,'Modelos de TES'!$K$3))/((1+'Modelos de TES'!$I$3)^('Base de datos '!G240/365))</f>
        <v>133.92097302276287</v>
      </c>
      <c r="I240" s="36">
        <f>IF('Modelos de TES'!$J$3&gt;='Base de datos '!E240,'Base de datos '!H240,0)</f>
        <v>0</v>
      </c>
    </row>
    <row r="241" spans="5:9" x14ac:dyDescent="0.3">
      <c r="E241" s="13">
        <f t="shared" si="12"/>
        <v>239</v>
      </c>
      <c r="F241" s="14" t="e">
        <f t="shared" si="11"/>
        <v>#NUM!</v>
      </c>
      <c r="G241" s="33">
        <f t="shared" si="10"/>
        <v>87088</v>
      </c>
      <c r="H241" s="34">
        <f>(IF('Modelos de TES'!$J$3='Base de datos '!E241,'Modelos de TES'!$K$3+'Modelos de TES'!$G$3,'Modelos de TES'!$K$3))/((1+'Modelos de TES'!$I$3)^('Base de datos '!G241/365))</f>
        <v>127.5437838312027</v>
      </c>
      <c r="I241" s="36">
        <f>IF('Modelos de TES'!$J$3&gt;='Base de datos '!E241,'Base de datos '!H241,0)</f>
        <v>0</v>
      </c>
    </row>
    <row r="242" spans="5:9" x14ac:dyDescent="0.3">
      <c r="E242" s="13">
        <f t="shared" si="12"/>
        <v>240</v>
      </c>
      <c r="F242" s="14" t="e">
        <f t="shared" si="11"/>
        <v>#NUM!</v>
      </c>
      <c r="G242" s="33">
        <f t="shared" si="10"/>
        <v>87453</v>
      </c>
      <c r="H242" s="34">
        <f>(IF('Modelos de TES'!$J$3='Base de datos '!E242,'Modelos de TES'!$K$3+'Modelos de TES'!$G$3,'Modelos de TES'!$K$3))/((1+'Modelos de TES'!$I$3)^('Base de datos '!G242/365))</f>
        <v>121.47027031543112</v>
      </c>
      <c r="I242" s="36">
        <f>IF('Modelos de TES'!$J$3&gt;='Base de datos '!E242,'Base de datos '!H242,0)</f>
        <v>0</v>
      </c>
    </row>
    <row r="243" spans="5:9" x14ac:dyDescent="0.3">
      <c r="E243" s="13">
        <f t="shared" si="12"/>
        <v>241</v>
      </c>
      <c r="F243" s="14" t="e">
        <f t="shared" si="11"/>
        <v>#NUM!</v>
      </c>
      <c r="G243" s="33">
        <f t="shared" si="10"/>
        <v>87818</v>
      </c>
      <c r="H243" s="34">
        <f>(IF('Modelos de TES'!$J$3='Base de datos '!E243,'Modelos de TES'!$K$3+'Modelos de TES'!$G$3,'Modelos de TES'!$K$3))/((1+'Modelos de TES'!$I$3)^('Base de datos '!G243/365))</f>
        <v>115.685971728982</v>
      </c>
      <c r="I243" s="36">
        <f>IF('Modelos de TES'!$J$3&gt;='Base de datos '!E243,'Base de datos '!H243,0)</f>
        <v>0</v>
      </c>
    </row>
    <row r="244" spans="5:9" x14ac:dyDescent="0.3">
      <c r="E244" s="13">
        <f t="shared" si="12"/>
        <v>242</v>
      </c>
      <c r="F244" s="14" t="e">
        <f t="shared" si="11"/>
        <v>#NUM!</v>
      </c>
      <c r="G244" s="33">
        <f t="shared" si="10"/>
        <v>88183</v>
      </c>
      <c r="H244" s="34">
        <f>(IF('Modelos de TES'!$J$3='Base de datos '!E244,'Modelos de TES'!$K$3+'Modelos de TES'!$G$3,'Modelos de TES'!$K$3))/((1+'Modelos de TES'!$I$3)^('Base de datos '!G244/365))</f>
        <v>110.17711593236379</v>
      </c>
      <c r="I244" s="36">
        <f>IF('Modelos de TES'!$J$3&gt;='Base de datos '!E244,'Base de datos '!H244,0)</f>
        <v>0</v>
      </c>
    </row>
    <row r="245" spans="5:9" x14ac:dyDescent="0.3">
      <c r="E245" s="13">
        <f t="shared" si="12"/>
        <v>243</v>
      </c>
      <c r="F245" s="14" t="e">
        <f t="shared" si="11"/>
        <v>#NUM!</v>
      </c>
      <c r="G245" s="33">
        <f t="shared" si="10"/>
        <v>88548</v>
      </c>
      <c r="H245" s="34">
        <f>(IF('Modelos de TES'!$J$3='Base de datos '!E245,'Modelos de TES'!$K$3+'Modelos de TES'!$G$3,'Modelos de TES'!$K$3))/((1+'Modelos de TES'!$I$3)^('Base de datos '!G245/365))</f>
        <v>104.93058660225121</v>
      </c>
      <c r="I245" s="36">
        <f>IF('Modelos de TES'!$J$3&gt;='Base de datos '!E245,'Base de datos '!H245,0)</f>
        <v>0</v>
      </c>
    </row>
    <row r="246" spans="5:9" x14ac:dyDescent="0.3">
      <c r="E246" s="13">
        <f t="shared" si="12"/>
        <v>244</v>
      </c>
      <c r="F246" s="14" t="e">
        <f t="shared" si="11"/>
        <v>#NUM!</v>
      </c>
      <c r="G246" s="33">
        <f t="shared" si="10"/>
        <v>88913</v>
      </c>
      <c r="H246" s="34">
        <f>(IF('Modelos de TES'!$J$3='Base de datos '!E246,'Modelos de TES'!$K$3+'Modelos de TES'!$G$3,'Modelos de TES'!$K$3))/((1+'Modelos de TES'!$I$3)^('Base de datos '!G246/365))</f>
        <v>99.933892002143992</v>
      </c>
      <c r="I246" s="36">
        <f>IF('Modelos de TES'!$J$3&gt;='Base de datos '!E246,'Base de datos '!H246,0)</f>
        <v>0</v>
      </c>
    </row>
    <row r="247" spans="5:9" x14ac:dyDescent="0.3">
      <c r="E247" s="13">
        <f t="shared" si="12"/>
        <v>245</v>
      </c>
      <c r="F247" s="14" t="e">
        <f t="shared" si="11"/>
        <v>#NUM!</v>
      </c>
      <c r="G247" s="33">
        <f t="shared" si="10"/>
        <v>89278</v>
      </c>
      <c r="H247" s="34">
        <f>(IF('Modelos de TES'!$J$3='Base de datos '!E247,'Modelos de TES'!$K$3+'Modelos de TES'!$G$3,'Modelos de TES'!$K$3))/((1+'Modelos de TES'!$I$3)^('Base de datos '!G247/365))</f>
        <v>95.175135240137124</v>
      </c>
      <c r="I247" s="36">
        <f>IF('Modelos de TES'!$J$3&gt;='Base de datos '!E247,'Base de datos '!H247,0)</f>
        <v>0</v>
      </c>
    </row>
    <row r="248" spans="5:9" x14ac:dyDescent="0.3">
      <c r="E248" s="13">
        <f t="shared" si="12"/>
        <v>246</v>
      </c>
      <c r="F248" s="14" t="e">
        <f t="shared" si="11"/>
        <v>#NUM!</v>
      </c>
      <c r="G248" s="33">
        <f t="shared" si="10"/>
        <v>89643</v>
      </c>
      <c r="H248" s="34">
        <f>(IF('Modelos de TES'!$J$3='Base de datos '!E248,'Modelos de TES'!$K$3+'Modelos de TES'!$G$3,'Modelos de TES'!$K$3))/((1+'Modelos de TES'!$I$3)^('Base de datos '!G248/365))</f>
        <v>90.642985942987735</v>
      </c>
      <c r="I248" s="36">
        <f>IF('Modelos de TES'!$J$3&gt;='Base de datos '!E248,'Base de datos '!H248,0)</f>
        <v>0</v>
      </c>
    </row>
    <row r="249" spans="5:9" x14ac:dyDescent="0.3">
      <c r="E249" s="13">
        <f t="shared" si="12"/>
        <v>247</v>
      </c>
      <c r="F249" s="14" t="e">
        <f t="shared" si="11"/>
        <v>#NUM!</v>
      </c>
      <c r="G249" s="33">
        <f t="shared" si="10"/>
        <v>90008</v>
      </c>
      <c r="H249" s="34">
        <f>(IF('Modelos de TES'!$J$3='Base de datos '!E249,'Modelos de TES'!$K$3+'Modelos de TES'!$G$3,'Modelos de TES'!$K$3))/((1+'Modelos de TES'!$I$3)^('Base de datos '!G249/365))</f>
        <v>86.326653279035909</v>
      </c>
      <c r="I249" s="36">
        <f>IF('Modelos de TES'!$J$3&gt;='Base de datos '!E249,'Base de datos '!H249,0)</f>
        <v>0</v>
      </c>
    </row>
    <row r="250" spans="5:9" x14ac:dyDescent="0.3">
      <c r="E250" s="13">
        <f t="shared" si="12"/>
        <v>248</v>
      </c>
      <c r="F250" s="14" t="e">
        <f t="shared" si="11"/>
        <v>#NUM!</v>
      </c>
      <c r="G250" s="33">
        <f t="shared" si="10"/>
        <v>90373</v>
      </c>
      <c r="H250" s="34">
        <f>(IF('Modelos de TES'!$J$3='Base de datos '!E250,'Modelos de TES'!$K$3+'Modelos de TES'!$G$3,'Modelos de TES'!$K$3))/((1+'Modelos de TES'!$I$3)^('Base de datos '!G250/365))</f>
        <v>82.215860265748475</v>
      </c>
      <c r="I250" s="36">
        <f>IF('Modelos de TES'!$J$3&gt;='Base de datos '!E250,'Base de datos '!H250,0)</f>
        <v>0</v>
      </c>
    </row>
    <row r="251" spans="5:9" x14ac:dyDescent="0.3">
      <c r="E251" s="13">
        <f t="shared" si="12"/>
        <v>249</v>
      </c>
      <c r="F251" s="14" t="e">
        <f t="shared" si="11"/>
        <v>#NUM!</v>
      </c>
      <c r="G251" s="33">
        <f t="shared" si="10"/>
        <v>90738</v>
      </c>
      <c r="H251" s="34">
        <f>(IF('Modelos de TES'!$J$3='Base de datos '!E251,'Modelos de TES'!$K$3+'Modelos de TES'!$G$3,'Modelos de TES'!$K$3))/((1+'Modelos de TES'!$I$3)^('Base de datos '!G251/365))</f>
        <v>78.300819300712817</v>
      </c>
      <c r="I251" s="36">
        <f>IF('Modelos de TES'!$J$3&gt;='Base de datos '!E251,'Base de datos '!H251,0)</f>
        <v>0</v>
      </c>
    </row>
    <row r="252" spans="5:9" x14ac:dyDescent="0.3">
      <c r="E252" s="13">
        <f t="shared" si="12"/>
        <v>250</v>
      </c>
      <c r="F252" s="14" t="e">
        <f t="shared" si="11"/>
        <v>#NUM!</v>
      </c>
      <c r="G252" s="33">
        <f t="shared" si="10"/>
        <v>91103</v>
      </c>
      <c r="H252" s="34">
        <f>(IF('Modelos de TES'!$J$3='Base de datos '!E252,'Modelos de TES'!$K$3+'Modelos de TES'!$G$3,'Modelos de TES'!$K$3))/((1+'Modelos de TES'!$I$3)^('Base de datos '!G252/365))</f>
        <v>74.572208857821721</v>
      </c>
      <c r="I252" s="36">
        <f>IF('Modelos de TES'!$J$3&gt;='Base de datos '!E252,'Base de datos '!H252,0)</f>
        <v>0</v>
      </c>
    </row>
    <row r="253" spans="5:9" x14ac:dyDescent="0.3">
      <c r="E253" s="13">
        <f t="shared" si="12"/>
        <v>251</v>
      </c>
      <c r="F253" s="14" t="e">
        <f t="shared" si="11"/>
        <v>#NUM!</v>
      </c>
      <c r="G253" s="33">
        <f t="shared" si="10"/>
        <v>91468</v>
      </c>
      <c r="H253" s="34">
        <f>(IF('Modelos de TES'!$J$3='Base de datos '!E253,'Modelos de TES'!$K$3+'Modelos de TES'!$G$3,'Modelos de TES'!$K$3))/((1+'Modelos de TES'!$I$3)^('Base de datos '!G253/365))</f>
        <v>71.021151293163541</v>
      </c>
      <c r="I253" s="36">
        <f>IF('Modelos de TES'!$J$3&gt;='Base de datos '!E253,'Base de datos '!H253,0)</f>
        <v>0</v>
      </c>
    </row>
    <row r="254" spans="5:9" x14ac:dyDescent="0.3">
      <c r="E254" s="13">
        <f t="shared" si="12"/>
        <v>252</v>
      </c>
      <c r="F254" s="14" t="e">
        <f t="shared" si="11"/>
        <v>#NUM!</v>
      </c>
      <c r="G254" s="33">
        <f t="shared" si="10"/>
        <v>91833</v>
      </c>
      <c r="H254" s="34">
        <f>(IF('Modelos de TES'!$J$3='Base de datos '!E254,'Modelos de TES'!$K$3+'Modelos de TES'!$G$3,'Modelos de TES'!$K$3))/((1+'Modelos de TES'!$I$3)^('Base de datos '!G254/365))</f>
        <v>67.639191707774785</v>
      </c>
      <c r="I254" s="36">
        <f>IF('Modelos de TES'!$J$3&gt;='Base de datos '!E254,'Base de datos '!H254,0)</f>
        <v>0</v>
      </c>
    </row>
    <row r="255" spans="5:9" x14ac:dyDescent="0.3">
      <c r="E255" s="13">
        <f t="shared" si="12"/>
        <v>253</v>
      </c>
      <c r="F255" s="14" t="e">
        <f t="shared" si="11"/>
        <v>#NUM!</v>
      </c>
      <c r="G255" s="33">
        <f t="shared" si="10"/>
        <v>92198</v>
      </c>
      <c r="H255" s="34">
        <f>(IF('Modelos de TES'!$J$3='Base de datos '!E255,'Modelos de TES'!$K$3+'Modelos de TES'!$G$3,'Modelos de TES'!$K$3))/((1+'Modelos de TES'!$I$3)^('Base de datos '!G255/365))</f>
        <v>64.418277816928466</v>
      </c>
      <c r="I255" s="36">
        <f>IF('Modelos de TES'!$J$3&gt;='Base de datos '!E255,'Base de datos '!H255,0)</f>
        <v>0</v>
      </c>
    </row>
    <row r="256" spans="5:9" x14ac:dyDescent="0.3">
      <c r="E256" s="13">
        <f t="shared" si="12"/>
        <v>254</v>
      </c>
      <c r="F256" s="14" t="e">
        <f t="shared" si="11"/>
        <v>#NUM!</v>
      </c>
      <c r="G256" s="33">
        <f t="shared" si="10"/>
        <v>92563</v>
      </c>
      <c r="H256" s="34">
        <f>(IF('Modelos de TES'!$J$3='Base de datos '!E256,'Modelos de TES'!$K$3+'Modelos de TES'!$G$3,'Modelos de TES'!$K$3))/((1+'Modelos de TES'!$I$3)^('Base de datos '!G256/365))</f>
        <v>61.350740778027102</v>
      </c>
      <c r="I256" s="36">
        <f>IF('Modelos de TES'!$J$3&gt;='Base de datos '!E256,'Base de datos '!H256,0)</f>
        <v>0</v>
      </c>
    </row>
    <row r="257" spans="5:9" x14ac:dyDescent="0.3">
      <c r="E257" s="13">
        <f t="shared" si="12"/>
        <v>255</v>
      </c>
      <c r="F257" s="14" t="e">
        <f t="shared" si="11"/>
        <v>#NUM!</v>
      </c>
      <c r="G257" s="33">
        <f t="shared" si="10"/>
        <v>92928</v>
      </c>
      <c r="H257" s="34">
        <f>(IF('Modelos de TES'!$J$3='Base de datos '!E257,'Modelos de TES'!$K$3+'Modelos de TES'!$G$3,'Modelos de TES'!$K$3))/((1+'Modelos de TES'!$I$3)^('Base de datos '!G257/365))</f>
        <v>58.429276931454382</v>
      </c>
      <c r="I257" s="36">
        <f>IF('Modelos de TES'!$J$3&gt;='Base de datos '!E257,'Base de datos '!H257,0)</f>
        <v>0</v>
      </c>
    </row>
    <row r="258" spans="5:9" x14ac:dyDescent="0.3">
      <c r="E258" s="13">
        <f t="shared" si="12"/>
        <v>256</v>
      </c>
      <c r="F258" s="14" t="e">
        <f t="shared" si="11"/>
        <v>#NUM!</v>
      </c>
      <c r="G258" s="33">
        <f t="shared" si="10"/>
        <v>93293</v>
      </c>
      <c r="H258" s="34">
        <f>(IF('Modelos de TES'!$J$3='Base de datos '!E258,'Modelos de TES'!$K$3+'Modelos de TES'!$G$3,'Modelos de TES'!$K$3))/((1+'Modelos de TES'!$I$3)^('Base de datos '!G258/365))</f>
        <v>55.646930410908922</v>
      </c>
      <c r="I258" s="36">
        <f>IF('Modelos de TES'!$J$3&gt;='Base de datos '!E258,'Base de datos '!H258,0)</f>
        <v>0</v>
      </c>
    </row>
    <row r="259" spans="5:9" x14ac:dyDescent="0.3">
      <c r="E259" s="13">
        <f t="shared" si="12"/>
        <v>257</v>
      </c>
      <c r="F259" s="14" t="e">
        <f t="shared" si="11"/>
        <v>#NUM!</v>
      </c>
      <c r="G259" s="33">
        <f t="shared" si="10"/>
        <v>93658</v>
      </c>
      <c r="H259" s="34">
        <f>(IF('Modelos de TES'!$J$3='Base de datos '!E259,'Modelos de TES'!$K$3+'Modelos de TES'!$G$3,'Modelos de TES'!$K$3))/((1+'Modelos de TES'!$I$3)^('Base de datos '!G259/365))</f>
        <v>52.997076581818014</v>
      </c>
      <c r="I259" s="36">
        <f>IF('Modelos de TES'!$J$3&gt;='Base de datos '!E259,'Base de datos '!H259,0)</f>
        <v>0</v>
      </c>
    </row>
    <row r="260" spans="5:9" x14ac:dyDescent="0.3">
      <c r="E260" s="13">
        <f t="shared" si="12"/>
        <v>258</v>
      </c>
      <c r="F260" s="14" t="e">
        <f t="shared" si="11"/>
        <v>#NUM!</v>
      </c>
      <c r="G260" s="33">
        <f t="shared" si="10"/>
        <v>94023</v>
      </c>
      <c r="H260" s="34">
        <f>(IF('Modelos de TES'!$J$3='Base de datos '!E260,'Modelos de TES'!$K$3+'Modelos de TES'!$G$3,'Modelos de TES'!$K$3))/((1+'Modelos de TES'!$I$3)^('Base de datos '!G260/365))</f>
        <v>50.473406268398094</v>
      </c>
      <c r="I260" s="36">
        <f>IF('Modelos de TES'!$J$3&gt;='Base de datos '!E260,'Base de datos '!H260,0)</f>
        <v>0</v>
      </c>
    </row>
    <row r="261" spans="5:9" x14ac:dyDescent="0.3">
      <c r="E261" s="13">
        <f t="shared" si="12"/>
        <v>259</v>
      </c>
      <c r="F261" s="14" t="e">
        <f t="shared" si="11"/>
        <v>#NUM!</v>
      </c>
      <c r="G261" s="33">
        <f t="shared" ref="G261:G324" si="13">G260+365</f>
        <v>94388</v>
      </c>
      <c r="H261" s="34">
        <f>(IF('Modelos de TES'!$J$3='Base de datos '!E261,'Modelos de TES'!$K$3+'Modelos de TES'!$G$3,'Modelos de TES'!$K$3))/((1+'Modelos de TES'!$I$3)^('Base de datos '!G261/365))</f>
        <v>48.06991073180771</v>
      </c>
      <c r="I261" s="36">
        <f>IF('Modelos de TES'!$J$3&gt;='Base de datos '!E261,'Base de datos '!H261,0)</f>
        <v>0</v>
      </c>
    </row>
    <row r="262" spans="5:9" x14ac:dyDescent="0.3">
      <c r="E262" s="13">
        <f t="shared" si="12"/>
        <v>260</v>
      </c>
      <c r="F262" s="14" t="e">
        <f t="shared" si="11"/>
        <v>#NUM!</v>
      </c>
      <c r="G262" s="33">
        <f t="shared" si="13"/>
        <v>94753</v>
      </c>
      <c r="H262" s="34">
        <f>(IF('Modelos de TES'!$J$3='Base de datos '!E262,'Modelos de TES'!$K$3+'Modelos de TES'!$G$3,'Modelos de TES'!$K$3))/((1+'Modelos de TES'!$I$3)^('Base de datos '!G262/365))</f>
        <v>45.780867363626378</v>
      </c>
      <c r="I262" s="36">
        <f>IF('Modelos de TES'!$J$3&gt;='Base de datos '!E262,'Base de datos '!H262,0)</f>
        <v>0</v>
      </c>
    </row>
    <row r="263" spans="5:9" x14ac:dyDescent="0.3">
      <c r="E263" s="13">
        <f t="shared" si="12"/>
        <v>261</v>
      </c>
      <c r="F263" s="14" t="e">
        <f t="shared" si="11"/>
        <v>#NUM!</v>
      </c>
      <c r="G263" s="33">
        <f t="shared" si="13"/>
        <v>95118</v>
      </c>
      <c r="H263" s="34">
        <f>(IF('Modelos de TES'!$J$3='Base de datos '!E263,'Modelos de TES'!$K$3+'Modelos de TES'!$G$3,'Modelos de TES'!$K$3))/((1+'Modelos de TES'!$I$3)^('Base de datos '!G263/365))</f>
        <v>43.600826060596546</v>
      </c>
      <c r="I263" s="36">
        <f>IF('Modelos de TES'!$J$3&gt;='Base de datos '!E263,'Base de datos '!H263,0)</f>
        <v>0</v>
      </c>
    </row>
    <row r="264" spans="5:9" x14ac:dyDescent="0.3">
      <c r="E264" s="13">
        <f t="shared" si="12"/>
        <v>262</v>
      </c>
      <c r="F264" s="14" t="e">
        <f t="shared" si="11"/>
        <v>#NUM!</v>
      </c>
      <c r="G264" s="33">
        <f t="shared" si="13"/>
        <v>95483</v>
      </c>
      <c r="H264" s="34">
        <f>(IF('Modelos de TES'!$J$3='Base de datos '!E264,'Modelos de TES'!$K$3+'Modelos de TES'!$G$3,'Modelos de TES'!$K$3))/((1+'Modelos de TES'!$I$3)^('Base de datos '!G264/365))</f>
        <v>41.52459624818718</v>
      </c>
      <c r="I264" s="36">
        <f>IF('Modelos de TES'!$J$3&gt;='Base de datos '!E264,'Base de datos '!H264,0)</f>
        <v>0</v>
      </c>
    </row>
    <row r="265" spans="5:9" x14ac:dyDescent="0.3">
      <c r="E265" s="13">
        <f t="shared" si="12"/>
        <v>263</v>
      </c>
      <c r="F265" s="14" t="e">
        <f t="shared" si="11"/>
        <v>#NUM!</v>
      </c>
      <c r="G265" s="33">
        <f t="shared" si="13"/>
        <v>95848</v>
      </c>
      <c r="H265" s="34">
        <f>(IF('Modelos de TES'!$J$3='Base de datos '!E265,'Modelos de TES'!$K$3+'Modelos de TES'!$G$3,'Modelos de TES'!$K$3))/((1+'Modelos de TES'!$I$3)^('Base de datos '!G265/365))</f>
        <v>39.547234522083023</v>
      </c>
      <c r="I265" s="36">
        <f>IF('Modelos de TES'!$J$3&gt;='Base de datos '!E265,'Base de datos '!H265,0)</f>
        <v>0</v>
      </c>
    </row>
    <row r="266" spans="5:9" x14ac:dyDescent="0.3">
      <c r="E266" s="13">
        <f t="shared" si="12"/>
        <v>264</v>
      </c>
      <c r="F266" s="14" t="e">
        <f t="shared" si="11"/>
        <v>#NUM!</v>
      </c>
      <c r="G266" s="33">
        <f t="shared" si="13"/>
        <v>96213</v>
      </c>
      <c r="H266" s="34">
        <f>(IF('Modelos de TES'!$J$3='Base de datos '!E266,'Modelos de TES'!$K$3+'Modelos de TES'!$G$3,'Modelos de TES'!$K$3))/((1+'Modelos de TES'!$I$3)^('Base de datos '!G266/365))</f>
        <v>37.664032878174304</v>
      </c>
      <c r="I266" s="36">
        <f>IF('Modelos de TES'!$J$3&gt;='Base de datos '!E266,'Base de datos '!H266,0)</f>
        <v>0</v>
      </c>
    </row>
    <row r="267" spans="5:9" x14ac:dyDescent="0.3">
      <c r="E267" s="13">
        <f t="shared" si="12"/>
        <v>265</v>
      </c>
      <c r="F267" s="14" t="e">
        <f t="shared" si="11"/>
        <v>#NUM!</v>
      </c>
      <c r="G267" s="33">
        <f t="shared" si="13"/>
        <v>96578</v>
      </c>
      <c r="H267" s="34">
        <f>(IF('Modelos de TES'!$J$3='Base de datos '!E267,'Modelos de TES'!$K$3+'Modelos de TES'!$G$3,'Modelos de TES'!$K$3))/((1+'Modelos de TES'!$I$3)^('Base de datos '!G267/365))</f>
        <v>35.870507503023134</v>
      </c>
      <c r="I267" s="36">
        <f>IF('Modelos de TES'!$J$3&gt;='Base de datos '!E267,'Base de datos '!H267,0)</f>
        <v>0</v>
      </c>
    </row>
    <row r="268" spans="5:9" x14ac:dyDescent="0.3">
      <c r="E268" s="13">
        <f t="shared" si="12"/>
        <v>266</v>
      </c>
      <c r="F268" s="14" t="e">
        <f t="shared" si="11"/>
        <v>#NUM!</v>
      </c>
      <c r="G268" s="33">
        <f t="shared" si="13"/>
        <v>96943</v>
      </c>
      <c r="H268" s="34">
        <f>(IF('Modelos de TES'!$J$3='Base de datos '!E268,'Modelos de TES'!$K$3+'Modelos de TES'!$G$3,'Modelos de TES'!$K$3))/((1+'Modelos de TES'!$I$3)^('Base de datos '!G268/365))</f>
        <v>34.162388098117269</v>
      </c>
      <c r="I268" s="36">
        <f>IF('Modelos de TES'!$J$3&gt;='Base de datos '!E268,'Base de datos '!H268,0)</f>
        <v>0</v>
      </c>
    </row>
    <row r="269" spans="5:9" x14ac:dyDescent="0.3">
      <c r="E269" s="13">
        <f t="shared" si="12"/>
        <v>267</v>
      </c>
      <c r="F269" s="14" t="e">
        <f t="shared" ref="F269:F332" si="14">COUPNCD(F268,$D$2,1,3)</f>
        <v>#NUM!</v>
      </c>
      <c r="G269" s="33">
        <f t="shared" si="13"/>
        <v>97308</v>
      </c>
      <c r="H269" s="34">
        <f>(IF('Modelos de TES'!$J$3='Base de datos '!E269,'Modelos de TES'!$K$3+'Modelos de TES'!$G$3,'Modelos de TES'!$K$3))/((1+'Modelos de TES'!$I$3)^('Base de datos '!G269/365))</f>
        <v>32.535607712492634</v>
      </c>
      <c r="I269" s="36">
        <f>IF('Modelos de TES'!$J$3&gt;='Base de datos '!E269,'Base de datos '!H269,0)</f>
        <v>0</v>
      </c>
    </row>
    <row r="270" spans="5:9" x14ac:dyDescent="0.3">
      <c r="E270" s="13">
        <f t="shared" ref="E270:E333" si="15">E269+1</f>
        <v>268</v>
      </c>
      <c r="F270" s="14" t="e">
        <f t="shared" si="14"/>
        <v>#NUM!</v>
      </c>
      <c r="G270" s="33">
        <f t="shared" si="13"/>
        <v>97673</v>
      </c>
      <c r="H270" s="34">
        <f>(IF('Modelos de TES'!$J$3='Base de datos '!E270,'Modelos de TES'!$K$3+'Modelos de TES'!$G$3,'Modelos de TES'!$K$3))/((1+'Modelos de TES'!$I$3)^('Base de datos '!G270/365))</f>
        <v>30.986293059516786</v>
      </c>
      <c r="I270" s="36">
        <f>IF('Modelos de TES'!$J$3&gt;='Base de datos '!E270,'Base de datos '!H270,0)</f>
        <v>0</v>
      </c>
    </row>
    <row r="271" spans="5:9" x14ac:dyDescent="0.3">
      <c r="E271" s="13">
        <f t="shared" si="15"/>
        <v>269</v>
      </c>
      <c r="F271" s="14" t="e">
        <f t="shared" si="14"/>
        <v>#NUM!</v>
      </c>
      <c r="G271" s="33">
        <f t="shared" si="13"/>
        <v>98038</v>
      </c>
      <c r="H271" s="34">
        <f>(IF('Modelos de TES'!$J$3='Base de datos '!E271,'Modelos de TES'!$K$3+'Modelos de TES'!$G$3,'Modelos de TES'!$K$3))/((1+'Modelos de TES'!$I$3)^('Base de datos '!G271/365))</f>
        <v>29.51075529477794</v>
      </c>
      <c r="I271" s="36">
        <f>IF('Modelos de TES'!$J$3&gt;='Base de datos '!E271,'Base de datos '!H271,0)</f>
        <v>0</v>
      </c>
    </row>
    <row r="272" spans="5:9" x14ac:dyDescent="0.3">
      <c r="E272" s="13">
        <f t="shared" si="15"/>
        <v>270</v>
      </c>
      <c r="F272" s="14" t="e">
        <f t="shared" si="14"/>
        <v>#NUM!</v>
      </c>
      <c r="G272" s="33">
        <f t="shared" si="13"/>
        <v>98403</v>
      </c>
      <c r="H272" s="34">
        <f>(IF('Modelos de TES'!$J$3='Base de datos '!E272,'Modelos de TES'!$K$3+'Modelos de TES'!$G$3,'Modelos de TES'!$K$3))/((1+'Modelos de TES'!$I$3)^('Base de datos '!G272/365))</f>
        <v>28.105481233121843</v>
      </c>
      <c r="I272" s="36">
        <f>IF('Modelos de TES'!$J$3&gt;='Base de datos '!E272,'Base de datos '!H272,0)</f>
        <v>0</v>
      </c>
    </row>
    <row r="273" spans="5:9" x14ac:dyDescent="0.3">
      <c r="E273" s="13">
        <f t="shared" si="15"/>
        <v>271</v>
      </c>
      <c r="F273" s="14" t="e">
        <f t="shared" si="14"/>
        <v>#NUM!</v>
      </c>
      <c r="G273" s="33">
        <f t="shared" si="13"/>
        <v>98768</v>
      </c>
      <c r="H273" s="34">
        <f>(IF('Modelos de TES'!$J$3='Base de datos '!E273,'Modelos de TES'!$K$3+'Modelos de TES'!$G$3,'Modelos de TES'!$K$3))/((1+'Modelos de TES'!$I$3)^('Base de datos '!G273/365))</f>
        <v>26.767124983925562</v>
      </c>
      <c r="I273" s="36">
        <f>IF('Modelos de TES'!$J$3&gt;='Base de datos '!E273,'Base de datos '!H273,0)</f>
        <v>0</v>
      </c>
    </row>
    <row r="274" spans="5:9" x14ac:dyDescent="0.3">
      <c r="E274" s="13">
        <f t="shared" si="15"/>
        <v>272</v>
      </c>
      <c r="F274" s="14" t="e">
        <f t="shared" si="14"/>
        <v>#NUM!</v>
      </c>
      <c r="G274" s="33">
        <f t="shared" si="13"/>
        <v>99133</v>
      </c>
      <c r="H274" s="34">
        <f>(IF('Modelos de TES'!$J$3='Base de datos '!E274,'Modelos de TES'!$K$3+'Modelos de TES'!$G$3,'Modelos de TES'!$K$3))/((1+'Modelos de TES'!$I$3)^('Base de datos '!G274/365))</f>
        <v>25.492499984691005</v>
      </c>
      <c r="I274" s="36">
        <f>IF('Modelos de TES'!$J$3&gt;='Base de datos '!E274,'Base de datos '!H274,0)</f>
        <v>0</v>
      </c>
    </row>
    <row r="275" spans="5:9" x14ac:dyDescent="0.3">
      <c r="E275" s="13">
        <f t="shared" si="15"/>
        <v>273</v>
      </c>
      <c r="F275" s="14" t="e">
        <f t="shared" si="14"/>
        <v>#NUM!</v>
      </c>
      <c r="G275" s="33">
        <f t="shared" si="13"/>
        <v>99498</v>
      </c>
      <c r="H275" s="34">
        <f>(IF('Modelos de TES'!$J$3='Base de datos '!E275,'Modelos de TES'!$K$3+'Modelos de TES'!$G$3,'Modelos de TES'!$K$3))/((1+'Modelos de TES'!$I$3)^('Base de datos '!G275/365))</f>
        <v>24.278571413991429</v>
      </c>
      <c r="I275" s="36">
        <f>IF('Modelos de TES'!$J$3&gt;='Base de datos '!E275,'Base de datos '!H275,0)</f>
        <v>0</v>
      </c>
    </row>
    <row r="276" spans="5:9" x14ac:dyDescent="0.3">
      <c r="E276" s="13">
        <f t="shared" si="15"/>
        <v>274</v>
      </c>
      <c r="F276" s="14" t="e">
        <f t="shared" si="14"/>
        <v>#NUM!</v>
      </c>
      <c r="G276" s="33">
        <f t="shared" si="13"/>
        <v>99863</v>
      </c>
      <c r="H276" s="34">
        <f>(IF('Modelos de TES'!$J$3='Base de datos '!E276,'Modelos de TES'!$K$3+'Modelos de TES'!$G$3,'Modelos de TES'!$K$3))/((1+'Modelos de TES'!$I$3)^('Base de datos '!G276/365))</f>
        <v>23.12244896570612</v>
      </c>
      <c r="I276" s="36">
        <f>IF('Modelos de TES'!$J$3&gt;='Base de datos '!E276,'Base de datos '!H276,0)</f>
        <v>0</v>
      </c>
    </row>
    <row r="277" spans="5:9" x14ac:dyDescent="0.3">
      <c r="E277" s="13">
        <f t="shared" si="15"/>
        <v>275</v>
      </c>
      <c r="F277" s="14" t="e">
        <f t="shared" si="14"/>
        <v>#NUM!</v>
      </c>
      <c r="G277" s="33">
        <f t="shared" si="13"/>
        <v>100228</v>
      </c>
      <c r="H277" s="34">
        <f>(IF('Modelos de TES'!$J$3='Base de datos '!E277,'Modelos de TES'!$K$3+'Modelos de TES'!$G$3,'Modelos de TES'!$K$3))/((1+'Modelos de TES'!$I$3)^('Base de datos '!G277/365))</f>
        <v>22.021379967339161</v>
      </c>
      <c r="I277" s="36">
        <f>IF('Modelos de TES'!$J$3&gt;='Base de datos '!E277,'Base de datos '!H277,0)</f>
        <v>0</v>
      </c>
    </row>
    <row r="278" spans="5:9" x14ac:dyDescent="0.3">
      <c r="E278" s="13">
        <f t="shared" si="15"/>
        <v>276</v>
      </c>
      <c r="F278" s="14" t="e">
        <f t="shared" si="14"/>
        <v>#NUM!</v>
      </c>
      <c r="G278" s="33">
        <f t="shared" si="13"/>
        <v>100593</v>
      </c>
      <c r="H278" s="34">
        <f>(IF('Modelos de TES'!$J$3='Base de datos '!E278,'Modelos de TES'!$K$3+'Modelos de TES'!$G$3,'Modelos de TES'!$K$3))/((1+'Modelos de TES'!$I$3)^('Base de datos '!G278/365))</f>
        <v>20.972742826037294</v>
      </c>
      <c r="I278" s="36">
        <f>IF('Modelos de TES'!$J$3&gt;='Base de datos '!E278,'Base de datos '!H278,0)</f>
        <v>0</v>
      </c>
    </row>
    <row r="279" spans="5:9" x14ac:dyDescent="0.3">
      <c r="E279" s="13">
        <f t="shared" si="15"/>
        <v>277</v>
      </c>
      <c r="F279" s="14" t="e">
        <f t="shared" si="14"/>
        <v>#NUM!</v>
      </c>
      <c r="G279" s="33">
        <f t="shared" si="13"/>
        <v>100958</v>
      </c>
      <c r="H279" s="34">
        <f>(IF('Modelos de TES'!$J$3='Base de datos '!E279,'Modelos de TES'!$K$3+'Modelos de TES'!$G$3,'Modelos de TES'!$K$3))/((1+'Modelos de TES'!$I$3)^('Base de datos '!G279/365))</f>
        <v>19.974040786702179</v>
      </c>
      <c r="I279" s="36">
        <f>IF('Modelos de TES'!$J$3&gt;='Base de datos '!E279,'Base de datos '!H279,0)</f>
        <v>0</v>
      </c>
    </row>
    <row r="280" spans="5:9" x14ac:dyDescent="0.3">
      <c r="E280" s="13">
        <f t="shared" si="15"/>
        <v>278</v>
      </c>
      <c r="F280" s="14" t="e">
        <f t="shared" si="14"/>
        <v>#NUM!</v>
      </c>
      <c r="G280" s="33">
        <f t="shared" si="13"/>
        <v>101323</v>
      </c>
      <c r="H280" s="34">
        <f>(IF('Modelos de TES'!$J$3='Base de datos '!E280,'Modelos de TES'!$K$3+'Modelos de TES'!$G$3,'Modelos de TES'!$K$3))/((1+'Modelos de TES'!$I$3)^('Base de datos '!G280/365))</f>
        <v>19.022895987335406</v>
      </c>
      <c r="I280" s="36">
        <f>IF('Modelos de TES'!$J$3&gt;='Base de datos '!E280,'Base de datos '!H280,0)</f>
        <v>0</v>
      </c>
    </row>
    <row r="281" spans="5:9" x14ac:dyDescent="0.3">
      <c r="E281" s="13">
        <f t="shared" si="15"/>
        <v>279</v>
      </c>
      <c r="F281" s="14" t="e">
        <f t="shared" si="14"/>
        <v>#NUM!</v>
      </c>
      <c r="G281" s="33">
        <f t="shared" si="13"/>
        <v>101688</v>
      </c>
      <c r="H281" s="34">
        <f>(IF('Modelos de TES'!$J$3='Base de datos '!E281,'Modelos de TES'!$K$3+'Modelos de TES'!$G$3,'Modelos de TES'!$K$3))/((1+'Modelos de TES'!$I$3)^('Base de datos '!G281/365))</f>
        <v>18.117043797462291</v>
      </c>
      <c r="I281" s="36">
        <f>IF('Modelos de TES'!$J$3&gt;='Base de datos '!E281,'Base de datos '!H281,0)</f>
        <v>0</v>
      </c>
    </row>
    <row r="282" spans="5:9" x14ac:dyDescent="0.3">
      <c r="E282" s="13">
        <f t="shared" si="15"/>
        <v>280</v>
      </c>
      <c r="F282" s="14" t="e">
        <f t="shared" si="14"/>
        <v>#NUM!</v>
      </c>
      <c r="G282" s="33">
        <f t="shared" si="13"/>
        <v>102053</v>
      </c>
      <c r="H282" s="34">
        <f>(IF('Modelos de TES'!$J$3='Base de datos '!E282,'Modelos de TES'!$K$3+'Modelos de TES'!$G$3,'Modelos de TES'!$K$3))/((1+'Modelos de TES'!$I$3)^('Base de datos '!G282/365))</f>
        <v>17.254327426154557</v>
      </c>
      <c r="I282" s="36">
        <f>IF('Modelos de TES'!$J$3&gt;='Base de datos '!E282,'Base de datos '!H282,0)</f>
        <v>0</v>
      </c>
    </row>
    <row r="283" spans="5:9" x14ac:dyDescent="0.3">
      <c r="E283" s="13">
        <f t="shared" si="15"/>
        <v>281</v>
      </c>
      <c r="F283" s="14" t="e">
        <f t="shared" si="14"/>
        <v>#NUM!</v>
      </c>
      <c r="G283" s="33">
        <f t="shared" si="13"/>
        <v>102418</v>
      </c>
      <c r="H283" s="34">
        <f>(IF('Modelos de TES'!$J$3='Base de datos '!E283,'Modelos de TES'!$K$3+'Modelos de TES'!$G$3,'Modelos de TES'!$K$3))/((1+'Modelos de TES'!$I$3)^('Base de datos '!G283/365))</f>
        <v>16.432692786813863</v>
      </c>
      <c r="I283" s="36">
        <f>IF('Modelos de TES'!$J$3&gt;='Base de datos '!E283,'Base de datos '!H283,0)</f>
        <v>0</v>
      </c>
    </row>
    <row r="284" spans="5:9" x14ac:dyDescent="0.3">
      <c r="E284" s="13">
        <f t="shared" si="15"/>
        <v>282</v>
      </c>
      <c r="F284" s="14" t="e">
        <f t="shared" si="14"/>
        <v>#NUM!</v>
      </c>
      <c r="G284" s="33">
        <f t="shared" si="13"/>
        <v>102783</v>
      </c>
      <c r="H284" s="34">
        <f>(IF('Modelos de TES'!$J$3='Base de datos '!E284,'Modelos de TES'!$K$3+'Modelos de TES'!$G$3,'Modelos de TES'!$K$3))/((1+'Modelos de TES'!$I$3)^('Base de datos '!G284/365))</f>
        <v>15.650183606489389</v>
      </c>
      <c r="I284" s="36">
        <f>IF('Modelos de TES'!$J$3&gt;='Base de datos '!E284,'Base de datos '!H284,0)</f>
        <v>0</v>
      </c>
    </row>
    <row r="285" spans="5:9" x14ac:dyDescent="0.3">
      <c r="E285" s="13">
        <f t="shared" si="15"/>
        <v>283</v>
      </c>
      <c r="F285" s="14" t="e">
        <f t="shared" si="14"/>
        <v>#NUM!</v>
      </c>
      <c r="G285" s="33">
        <f t="shared" si="13"/>
        <v>103148</v>
      </c>
      <c r="H285" s="34">
        <f>(IF('Modelos de TES'!$J$3='Base de datos '!E285,'Modelos de TES'!$K$3+'Modelos de TES'!$G$3,'Modelos de TES'!$K$3))/((1+'Modelos de TES'!$I$3)^('Base de datos '!G285/365))</f>
        <v>14.904936768085131</v>
      </c>
      <c r="I285" s="36">
        <f>IF('Modelos de TES'!$J$3&gt;='Base de datos '!E285,'Base de datos '!H285,0)</f>
        <v>0</v>
      </c>
    </row>
    <row r="286" spans="5:9" x14ac:dyDescent="0.3">
      <c r="E286" s="13">
        <f t="shared" si="15"/>
        <v>284</v>
      </c>
      <c r="F286" s="14" t="e">
        <f t="shared" si="14"/>
        <v>#NUM!</v>
      </c>
      <c r="G286" s="33">
        <f t="shared" si="13"/>
        <v>103513</v>
      </c>
      <c r="H286" s="34">
        <f>(IF('Modelos de TES'!$J$3='Base de datos '!E286,'Modelos de TES'!$K$3+'Modelos de TES'!$G$3,'Modelos de TES'!$K$3))/((1+'Modelos de TES'!$I$3)^('Base de datos '!G286/365))</f>
        <v>14.195177874366788</v>
      </c>
      <c r="I286" s="36">
        <f>IF('Modelos de TES'!$J$3&gt;='Base de datos '!E286,'Base de datos '!H286,0)</f>
        <v>0</v>
      </c>
    </row>
    <row r="287" spans="5:9" x14ac:dyDescent="0.3">
      <c r="E287" s="13">
        <f t="shared" si="15"/>
        <v>285</v>
      </c>
      <c r="F287" s="14" t="e">
        <f t="shared" si="14"/>
        <v>#NUM!</v>
      </c>
      <c r="G287" s="33">
        <f t="shared" si="13"/>
        <v>103878</v>
      </c>
      <c r="H287" s="34">
        <f>(IF('Modelos de TES'!$J$3='Base de datos '!E287,'Modelos de TES'!$K$3+'Modelos de TES'!$G$3,'Modelos de TES'!$K$3))/((1+'Modelos de TES'!$I$3)^('Base de datos '!G287/365))</f>
        <v>13.519217023206487</v>
      </c>
      <c r="I287" s="36">
        <f>IF('Modelos de TES'!$J$3&gt;='Base de datos '!E287,'Base de datos '!H287,0)</f>
        <v>0</v>
      </c>
    </row>
    <row r="288" spans="5:9" x14ac:dyDescent="0.3">
      <c r="E288" s="13">
        <f t="shared" si="15"/>
        <v>286</v>
      </c>
      <c r="F288" s="14" t="e">
        <f t="shared" si="14"/>
        <v>#NUM!</v>
      </c>
      <c r="G288" s="33">
        <f t="shared" si="13"/>
        <v>104243</v>
      </c>
      <c r="H288" s="34">
        <f>(IF('Modelos de TES'!$J$3='Base de datos '!E288,'Modelos de TES'!$K$3+'Modelos de TES'!$G$3,'Modelos de TES'!$K$3))/((1+'Modelos de TES'!$I$3)^('Base de datos '!G288/365))</f>
        <v>12.875444784006177</v>
      </c>
      <c r="I288" s="36">
        <f>IF('Modelos de TES'!$J$3&gt;='Base de datos '!E288,'Base de datos '!H288,0)</f>
        <v>0</v>
      </c>
    </row>
    <row r="289" spans="5:9" x14ac:dyDescent="0.3">
      <c r="E289" s="13">
        <f t="shared" si="15"/>
        <v>287</v>
      </c>
      <c r="F289" s="14" t="e">
        <f t="shared" si="14"/>
        <v>#NUM!</v>
      </c>
      <c r="G289" s="33">
        <f t="shared" si="13"/>
        <v>104608</v>
      </c>
      <c r="H289" s="34">
        <f>(IF('Modelos de TES'!$J$3='Base de datos '!E289,'Modelos de TES'!$K$3+'Modelos de TES'!$G$3,'Modelos de TES'!$K$3))/((1+'Modelos de TES'!$I$3)^('Base de datos '!G289/365))</f>
        <v>12.262328365720167</v>
      </c>
      <c r="I289" s="36">
        <f>IF('Modelos de TES'!$J$3&gt;='Base de datos '!E289,'Base de datos '!H289,0)</f>
        <v>0</v>
      </c>
    </row>
    <row r="290" spans="5:9" x14ac:dyDescent="0.3">
      <c r="E290" s="13">
        <f t="shared" si="15"/>
        <v>288</v>
      </c>
      <c r="F290" s="14" t="e">
        <f t="shared" si="14"/>
        <v>#NUM!</v>
      </c>
      <c r="G290" s="33">
        <f t="shared" si="13"/>
        <v>104973</v>
      </c>
      <c r="H290" s="34">
        <f>(IF('Modelos de TES'!$J$3='Base de datos '!E290,'Modelos de TES'!$K$3+'Modelos de TES'!$G$3,'Modelos de TES'!$K$3))/((1+'Modelos de TES'!$I$3)^('Base de datos '!G290/365))</f>
        <v>11.678407967352538</v>
      </c>
      <c r="I290" s="36">
        <f>IF('Modelos de TES'!$J$3&gt;='Base de datos '!E290,'Base de datos '!H290,0)</f>
        <v>0</v>
      </c>
    </row>
    <row r="291" spans="5:9" x14ac:dyDescent="0.3">
      <c r="E291" s="13">
        <f t="shared" si="15"/>
        <v>289</v>
      </c>
      <c r="F291" s="14" t="e">
        <f t="shared" si="14"/>
        <v>#NUM!</v>
      </c>
      <c r="G291" s="33">
        <f t="shared" si="13"/>
        <v>105338</v>
      </c>
      <c r="H291" s="34">
        <f>(IF('Modelos de TES'!$J$3='Base de datos '!E291,'Modelos de TES'!$K$3+'Modelos de TES'!$G$3,'Modelos de TES'!$K$3))/((1+'Modelos de TES'!$I$3)^('Base de datos '!G291/365))</f>
        <v>11.122293302240509</v>
      </c>
      <c r="I291" s="36">
        <f>IF('Modelos de TES'!$J$3&gt;='Base de datos '!E291,'Base de datos '!H291,0)</f>
        <v>0</v>
      </c>
    </row>
    <row r="292" spans="5:9" x14ac:dyDescent="0.3">
      <c r="E292" s="13">
        <f t="shared" si="15"/>
        <v>290</v>
      </c>
      <c r="F292" s="14" t="e">
        <f t="shared" si="14"/>
        <v>#NUM!</v>
      </c>
      <c r="G292" s="33">
        <f t="shared" si="13"/>
        <v>105703</v>
      </c>
      <c r="H292" s="34">
        <f>(IF('Modelos de TES'!$J$3='Base de datos '!E292,'Modelos de TES'!$K$3+'Modelos de TES'!$G$3,'Modelos de TES'!$K$3))/((1+'Modelos de TES'!$I$3)^('Base de datos '!G292/365))</f>
        <v>10.592660287848103</v>
      </c>
      <c r="I292" s="36">
        <f>IF('Modelos de TES'!$J$3&gt;='Base de datos '!E292,'Base de datos '!H292,0)</f>
        <v>0</v>
      </c>
    </row>
    <row r="293" spans="5:9" x14ac:dyDescent="0.3">
      <c r="E293" s="13">
        <f t="shared" si="15"/>
        <v>291</v>
      </c>
      <c r="F293" s="14" t="e">
        <f t="shared" si="14"/>
        <v>#NUM!</v>
      </c>
      <c r="G293" s="33">
        <f t="shared" si="13"/>
        <v>106068</v>
      </c>
      <c r="H293" s="34">
        <f>(IF('Modelos de TES'!$J$3='Base de datos '!E293,'Modelos de TES'!$K$3+'Modelos de TES'!$G$3,'Modelos de TES'!$K$3))/((1+'Modelos de TES'!$I$3)^('Base de datos '!G293/365))</f>
        <v>10.088247893188669</v>
      </c>
      <c r="I293" s="36">
        <f>IF('Modelos de TES'!$J$3&gt;='Base de datos '!E293,'Base de datos '!H293,0)</f>
        <v>0</v>
      </c>
    </row>
    <row r="294" spans="5:9" x14ac:dyDescent="0.3">
      <c r="E294" s="13">
        <f t="shared" si="15"/>
        <v>292</v>
      </c>
      <c r="F294" s="14" t="e">
        <f t="shared" si="14"/>
        <v>#NUM!</v>
      </c>
      <c r="G294" s="33">
        <f t="shared" si="13"/>
        <v>106433</v>
      </c>
      <c r="H294" s="34">
        <f>(IF('Modelos de TES'!$J$3='Base de datos '!E294,'Modelos de TES'!$K$3+'Modelos de TES'!$G$3,'Modelos de TES'!$K$3))/((1+'Modelos de TES'!$I$3)^('Base de datos '!G294/365))</f>
        <v>9.6078551363701603</v>
      </c>
      <c r="I294" s="36">
        <f>IF('Modelos de TES'!$J$3&gt;='Base de datos '!E294,'Base de datos '!H294,0)</f>
        <v>0</v>
      </c>
    </row>
    <row r="295" spans="5:9" x14ac:dyDescent="0.3">
      <c r="E295" s="13">
        <f t="shared" si="15"/>
        <v>293</v>
      </c>
      <c r="F295" s="14" t="e">
        <f t="shared" si="14"/>
        <v>#NUM!</v>
      </c>
      <c r="G295" s="33">
        <f t="shared" si="13"/>
        <v>106798</v>
      </c>
      <c r="H295" s="34">
        <f>(IF('Modelos de TES'!$J$3='Base de datos '!E295,'Modelos de TES'!$K$3+'Modelos de TES'!$G$3,'Modelos de TES'!$K$3))/((1+'Modelos de TES'!$I$3)^('Base de datos '!G295/365))</f>
        <v>9.1503382251144352</v>
      </c>
      <c r="I295" s="36">
        <f>IF('Modelos de TES'!$J$3&gt;='Base de datos '!E295,'Base de datos '!H295,0)</f>
        <v>0</v>
      </c>
    </row>
    <row r="296" spans="5:9" x14ac:dyDescent="0.3">
      <c r="E296" s="13">
        <f t="shared" si="15"/>
        <v>294</v>
      </c>
      <c r="F296" s="14" t="e">
        <f t="shared" si="14"/>
        <v>#NUM!</v>
      </c>
      <c r="G296" s="33">
        <f t="shared" si="13"/>
        <v>107163</v>
      </c>
      <c r="H296" s="34">
        <f>(IF('Modelos de TES'!$J$3='Base de datos '!E296,'Modelos de TES'!$K$3+'Modelos de TES'!$G$3,'Modelos de TES'!$K$3))/((1+'Modelos de TES'!$I$3)^('Base de datos '!G296/365))</f>
        <v>8.7146078334423187</v>
      </c>
      <c r="I296" s="36">
        <f>IF('Modelos de TES'!$J$3&gt;='Base de datos '!E296,'Base de datos '!H296,0)</f>
        <v>0</v>
      </c>
    </row>
    <row r="297" spans="5:9" x14ac:dyDescent="0.3">
      <c r="E297" s="13">
        <f t="shared" si="15"/>
        <v>295</v>
      </c>
      <c r="F297" s="14" t="e">
        <f t="shared" si="14"/>
        <v>#NUM!</v>
      </c>
      <c r="G297" s="33">
        <f t="shared" si="13"/>
        <v>107528</v>
      </c>
      <c r="H297" s="34">
        <f>(IF('Modelos de TES'!$J$3='Base de datos '!E297,'Modelos de TES'!$K$3+'Modelos de TES'!$G$3,'Modelos de TES'!$K$3))/((1+'Modelos de TES'!$I$3)^('Base de datos '!G297/365))</f>
        <v>8.2996265080403013</v>
      </c>
      <c r="I297" s="36">
        <f>IF('Modelos de TES'!$J$3&gt;='Base de datos '!E297,'Base de datos '!H297,0)</f>
        <v>0</v>
      </c>
    </row>
    <row r="298" spans="5:9" x14ac:dyDescent="0.3">
      <c r="E298" s="13">
        <f t="shared" si="15"/>
        <v>296</v>
      </c>
      <c r="F298" s="14" t="e">
        <f t="shared" si="14"/>
        <v>#NUM!</v>
      </c>
      <c r="G298" s="33">
        <f t="shared" si="13"/>
        <v>107893</v>
      </c>
      <c r="H298" s="34">
        <f>(IF('Modelos de TES'!$J$3='Base de datos '!E298,'Modelos de TES'!$K$3+'Modelos de TES'!$G$3,'Modelos de TES'!$K$3))/((1+'Modelos de TES'!$I$3)^('Base de datos '!G298/365))</f>
        <v>7.9044061981336196</v>
      </c>
      <c r="I298" s="36">
        <f>IF('Modelos de TES'!$J$3&gt;='Base de datos '!E298,'Base de datos '!H298,0)</f>
        <v>0</v>
      </c>
    </row>
    <row r="299" spans="5:9" x14ac:dyDescent="0.3">
      <c r="E299" s="13">
        <f t="shared" si="15"/>
        <v>297</v>
      </c>
      <c r="F299" s="14" t="e">
        <f t="shared" si="14"/>
        <v>#NUM!</v>
      </c>
      <c r="G299" s="33">
        <f t="shared" si="13"/>
        <v>108258</v>
      </c>
      <c r="H299" s="34">
        <f>(IF('Modelos de TES'!$J$3='Base de datos '!E299,'Modelos de TES'!$K$3+'Modelos de TES'!$G$3,'Modelos de TES'!$K$3))/((1+'Modelos de TES'!$I$3)^('Base de datos '!G299/365))</f>
        <v>7.5280059029843978</v>
      </c>
      <c r="I299" s="36">
        <f>IF('Modelos de TES'!$J$3&gt;='Base de datos '!E299,'Base de datos '!H299,0)</f>
        <v>0</v>
      </c>
    </row>
    <row r="300" spans="5:9" x14ac:dyDescent="0.3">
      <c r="E300" s="13">
        <f t="shared" si="15"/>
        <v>298</v>
      </c>
      <c r="F300" s="14" t="e">
        <f t="shared" si="14"/>
        <v>#NUM!</v>
      </c>
      <c r="G300" s="33">
        <f t="shared" si="13"/>
        <v>108623</v>
      </c>
      <c r="H300" s="34">
        <f>(IF('Modelos de TES'!$J$3='Base de datos '!E300,'Modelos de TES'!$K$3+'Modelos de TES'!$G$3,'Modelos de TES'!$K$3))/((1+'Modelos de TES'!$I$3)^('Base de datos '!G300/365))</f>
        <v>7.1695294314137117</v>
      </c>
      <c r="I300" s="36">
        <f>IF('Modelos de TES'!$J$3&gt;='Base de datos '!E300,'Base de datos '!H300,0)</f>
        <v>0</v>
      </c>
    </row>
    <row r="301" spans="5:9" x14ac:dyDescent="0.3">
      <c r="E301" s="13">
        <f t="shared" si="15"/>
        <v>299</v>
      </c>
      <c r="F301" s="14" t="e">
        <f t="shared" si="14"/>
        <v>#NUM!</v>
      </c>
      <c r="G301" s="33">
        <f t="shared" si="13"/>
        <v>108988</v>
      </c>
      <c r="H301" s="34">
        <f>(IF('Modelos de TES'!$J$3='Base de datos '!E301,'Modelos de TES'!$K$3+'Modelos de TES'!$G$3,'Modelos de TES'!$K$3))/((1+'Modelos de TES'!$I$3)^('Base de datos '!G301/365))</f>
        <v>6.8281232680130577</v>
      </c>
      <c r="I301" s="36">
        <f>IF('Modelos de TES'!$J$3&gt;='Base de datos '!E301,'Base de datos '!H301,0)</f>
        <v>0</v>
      </c>
    </row>
    <row r="302" spans="5:9" x14ac:dyDescent="0.3">
      <c r="E302" s="13">
        <f t="shared" si="15"/>
        <v>300</v>
      </c>
      <c r="F302" s="14" t="e">
        <f t="shared" si="14"/>
        <v>#NUM!</v>
      </c>
      <c r="G302" s="33">
        <f t="shared" si="13"/>
        <v>109353</v>
      </c>
      <c r="H302" s="34">
        <f>(IF('Modelos de TES'!$J$3='Base de datos '!E302,'Modelos de TES'!$K$3+'Modelos de TES'!$G$3,'Modelos de TES'!$K$3))/((1+'Modelos de TES'!$I$3)^('Base de datos '!G302/365))</f>
        <v>6.5029745409648161</v>
      </c>
      <c r="I302" s="36">
        <f>IF('Modelos de TES'!$J$3&gt;='Base de datos '!E302,'Base de datos '!H302,0)</f>
        <v>0</v>
      </c>
    </row>
    <row r="303" spans="5:9" x14ac:dyDescent="0.3">
      <c r="E303" s="13">
        <f t="shared" si="15"/>
        <v>301</v>
      </c>
      <c r="F303" s="14" t="e">
        <f t="shared" si="14"/>
        <v>#NUM!</v>
      </c>
      <c r="G303" s="33">
        <f t="shared" si="13"/>
        <v>109718</v>
      </c>
      <c r="H303" s="34">
        <f>(IF('Modelos de TES'!$J$3='Base de datos '!E303,'Modelos de TES'!$K$3+'Modelos de TES'!$G$3,'Modelos de TES'!$K$3))/((1+'Modelos de TES'!$I$3)^('Base de datos '!G303/365))</f>
        <v>6.1933090866331684</v>
      </c>
      <c r="I303" s="36">
        <f>IF('Modelos de TES'!$J$3&gt;='Base de datos '!E303,'Base de datos '!H303,0)</f>
        <v>0</v>
      </c>
    </row>
    <row r="304" spans="5:9" x14ac:dyDescent="0.3">
      <c r="E304" s="13">
        <f t="shared" si="15"/>
        <v>302</v>
      </c>
      <c r="F304" s="14" t="e">
        <f t="shared" si="14"/>
        <v>#NUM!</v>
      </c>
      <c r="G304" s="33">
        <f t="shared" si="13"/>
        <v>110083</v>
      </c>
      <c r="H304" s="34">
        <f>(IF('Modelos de TES'!$J$3='Base de datos '!E304,'Modelos de TES'!$K$3+'Modelos de TES'!$G$3,'Modelos de TES'!$K$3))/((1+'Modelos de TES'!$I$3)^('Base de datos '!G304/365))</f>
        <v>5.8983896063173011</v>
      </c>
      <c r="I304" s="36">
        <f>IF('Modelos de TES'!$J$3&gt;='Base de datos '!E304,'Base de datos '!H304,0)</f>
        <v>0</v>
      </c>
    </row>
    <row r="305" spans="5:9" x14ac:dyDescent="0.3">
      <c r="E305" s="13">
        <f t="shared" si="15"/>
        <v>303</v>
      </c>
      <c r="F305" s="14" t="e">
        <f t="shared" si="14"/>
        <v>#NUM!</v>
      </c>
      <c r="G305" s="33">
        <f t="shared" si="13"/>
        <v>110448</v>
      </c>
      <c r="H305" s="34">
        <f>(IF('Modelos de TES'!$J$3='Base de datos '!E305,'Modelos de TES'!$K$3+'Modelos de TES'!$G$3,'Modelos de TES'!$K$3))/((1+'Modelos de TES'!$I$3)^('Base de datos '!G305/365))</f>
        <v>5.6175139107783814</v>
      </c>
      <c r="I305" s="36">
        <f>IF('Modelos de TES'!$J$3&gt;='Base de datos '!E305,'Base de datos '!H305,0)</f>
        <v>0</v>
      </c>
    </row>
    <row r="306" spans="5:9" x14ac:dyDescent="0.3">
      <c r="E306" s="13">
        <f t="shared" si="15"/>
        <v>304</v>
      </c>
      <c r="F306" s="14" t="e">
        <f t="shared" si="14"/>
        <v>#NUM!</v>
      </c>
      <c r="G306" s="33">
        <f t="shared" si="13"/>
        <v>110813</v>
      </c>
      <c r="H306" s="34">
        <f>(IF('Modelos de TES'!$J$3='Base de datos '!E306,'Modelos de TES'!$K$3+'Modelos de TES'!$G$3,'Modelos de TES'!$K$3))/((1+'Modelos de TES'!$I$3)^('Base de datos '!G306/365))</f>
        <v>5.3500132483603631</v>
      </c>
      <c r="I306" s="36">
        <f>IF('Modelos de TES'!$J$3&gt;='Base de datos '!E306,'Base de datos '!H306,0)</f>
        <v>0</v>
      </c>
    </row>
    <row r="307" spans="5:9" x14ac:dyDescent="0.3">
      <c r="E307" s="13">
        <f t="shared" si="15"/>
        <v>305</v>
      </c>
      <c r="F307" s="14" t="e">
        <f t="shared" si="14"/>
        <v>#NUM!</v>
      </c>
      <c r="G307" s="33">
        <f t="shared" si="13"/>
        <v>111178</v>
      </c>
      <c r="H307" s="34">
        <f>(IF('Modelos de TES'!$J$3='Base de datos '!E307,'Modelos de TES'!$K$3+'Modelos de TES'!$G$3,'Modelos de TES'!$K$3))/((1+'Modelos de TES'!$I$3)^('Base de datos '!G307/365))</f>
        <v>5.0952507127241544</v>
      </c>
      <c r="I307" s="36">
        <f>IF('Modelos de TES'!$J$3&gt;='Base de datos '!E307,'Base de datos '!H307,0)</f>
        <v>0</v>
      </c>
    </row>
    <row r="308" spans="5:9" x14ac:dyDescent="0.3">
      <c r="E308" s="13">
        <f t="shared" si="15"/>
        <v>306</v>
      </c>
      <c r="F308" s="14" t="e">
        <f t="shared" si="14"/>
        <v>#NUM!</v>
      </c>
      <c r="G308" s="33">
        <f t="shared" si="13"/>
        <v>111543</v>
      </c>
      <c r="H308" s="34">
        <f>(IF('Modelos de TES'!$J$3='Base de datos '!E308,'Modelos de TES'!$K$3+'Modelos de TES'!$G$3,'Modelos de TES'!$K$3))/((1+'Modelos de TES'!$I$3)^('Base de datos '!G308/365))</f>
        <v>4.8526197264039554</v>
      </c>
      <c r="I308" s="36">
        <f>IF('Modelos de TES'!$J$3&gt;='Base de datos '!E308,'Base de datos '!H308,0)</f>
        <v>0</v>
      </c>
    </row>
    <row r="309" spans="5:9" x14ac:dyDescent="0.3">
      <c r="E309" s="13">
        <f t="shared" si="15"/>
        <v>307</v>
      </c>
      <c r="F309" s="14" t="e">
        <f t="shared" si="14"/>
        <v>#NUM!</v>
      </c>
      <c r="G309" s="33">
        <f t="shared" si="13"/>
        <v>111908</v>
      </c>
      <c r="H309" s="34">
        <f>(IF('Modelos de TES'!$J$3='Base de datos '!E309,'Modelos de TES'!$K$3+'Modelos de TES'!$G$3,'Modelos de TES'!$K$3))/((1+'Modelos de TES'!$I$3)^('Base de datos '!G309/365))</f>
        <v>4.6215425965751953</v>
      </c>
      <c r="I309" s="36">
        <f>IF('Modelos de TES'!$J$3&gt;='Base de datos '!E309,'Base de datos '!H309,0)</f>
        <v>0</v>
      </c>
    </row>
    <row r="310" spans="5:9" x14ac:dyDescent="0.3">
      <c r="E310" s="13">
        <f t="shared" si="15"/>
        <v>308</v>
      </c>
      <c r="F310" s="14" t="e">
        <f t="shared" si="14"/>
        <v>#NUM!</v>
      </c>
      <c r="G310" s="33">
        <f t="shared" si="13"/>
        <v>112273</v>
      </c>
      <c r="H310" s="34">
        <f>(IF('Modelos de TES'!$J$3='Base de datos '!E310,'Modelos de TES'!$K$3+'Modelos de TES'!$G$3,'Modelos de TES'!$K$3))/((1+'Modelos de TES'!$I$3)^('Base de datos '!G310/365))</f>
        <v>4.4014691395954237</v>
      </c>
      <c r="I310" s="36">
        <f>IF('Modelos de TES'!$J$3&gt;='Base de datos '!E310,'Base de datos '!H310,0)</f>
        <v>0</v>
      </c>
    </row>
    <row r="311" spans="5:9" x14ac:dyDescent="0.3">
      <c r="E311" s="13">
        <f t="shared" si="15"/>
        <v>309</v>
      </c>
      <c r="F311" s="14" t="e">
        <f t="shared" si="14"/>
        <v>#NUM!</v>
      </c>
      <c r="G311" s="33">
        <f t="shared" si="13"/>
        <v>112638</v>
      </c>
      <c r="H311" s="34">
        <f>(IF('Modelos de TES'!$J$3='Base de datos '!E311,'Modelos de TES'!$K$3+'Modelos de TES'!$G$3,'Modelos de TES'!$K$3))/((1+'Modelos de TES'!$I$3)^('Base de datos '!G311/365))</f>
        <v>4.1918753710432597</v>
      </c>
      <c r="I311" s="36">
        <f>IF('Modelos de TES'!$J$3&gt;='Base de datos '!E311,'Base de datos '!H311,0)</f>
        <v>0</v>
      </c>
    </row>
    <row r="312" spans="5:9" x14ac:dyDescent="0.3">
      <c r="E312" s="13">
        <f t="shared" si="15"/>
        <v>310</v>
      </c>
      <c r="F312" s="14" t="e">
        <f t="shared" si="14"/>
        <v>#NUM!</v>
      </c>
      <c r="G312" s="33">
        <f t="shared" si="13"/>
        <v>113003</v>
      </c>
      <c r="H312" s="34">
        <f>(IF('Modelos de TES'!$J$3='Base de datos '!E312,'Modelos de TES'!$K$3+'Modelos de TES'!$G$3,'Modelos de TES'!$K$3))/((1+'Modelos de TES'!$I$3)^('Base de datos '!G312/365))</f>
        <v>3.9922622581364373</v>
      </c>
      <c r="I312" s="36">
        <f>IF('Modelos de TES'!$J$3&gt;='Base de datos '!E312,'Base de datos '!H312,0)</f>
        <v>0</v>
      </c>
    </row>
    <row r="313" spans="5:9" x14ac:dyDescent="0.3">
      <c r="E313" s="13">
        <f t="shared" si="15"/>
        <v>311</v>
      </c>
      <c r="F313" s="14" t="e">
        <f t="shared" si="14"/>
        <v>#NUM!</v>
      </c>
      <c r="G313" s="33">
        <f t="shared" si="13"/>
        <v>113368</v>
      </c>
      <c r="H313" s="34">
        <f>(IF('Modelos de TES'!$J$3='Base de datos '!E313,'Modelos de TES'!$K$3+'Modelos de TES'!$G$3,'Modelos de TES'!$K$3))/((1+'Modelos de TES'!$I$3)^('Base de datos '!G313/365))</f>
        <v>3.8021545315585112</v>
      </c>
      <c r="I313" s="36">
        <f>IF('Modelos de TES'!$J$3&gt;='Base de datos '!E313,'Base de datos '!H313,0)</f>
        <v>0</v>
      </c>
    </row>
    <row r="314" spans="5:9" x14ac:dyDescent="0.3">
      <c r="E314" s="13">
        <f t="shared" si="15"/>
        <v>312</v>
      </c>
      <c r="F314" s="14" t="e">
        <f t="shared" si="14"/>
        <v>#NUM!</v>
      </c>
      <c r="G314" s="33">
        <f t="shared" si="13"/>
        <v>113733</v>
      </c>
      <c r="H314" s="34">
        <f>(IF('Modelos de TES'!$J$3='Base de datos '!E314,'Modelos de TES'!$K$3+'Modelos de TES'!$G$3,'Modelos de TES'!$K$3))/((1+'Modelos de TES'!$I$3)^('Base de datos '!G314/365))</f>
        <v>3.6210995538652475</v>
      </c>
      <c r="I314" s="36">
        <f>IF('Modelos de TES'!$J$3&gt;='Base de datos '!E314,'Base de datos '!H314,0)</f>
        <v>0</v>
      </c>
    </row>
    <row r="315" spans="5:9" x14ac:dyDescent="0.3">
      <c r="E315" s="13">
        <f t="shared" si="15"/>
        <v>313</v>
      </c>
      <c r="F315" s="14" t="e">
        <f t="shared" si="14"/>
        <v>#NUM!</v>
      </c>
      <c r="G315" s="33">
        <f t="shared" si="13"/>
        <v>114098</v>
      </c>
      <c r="H315" s="34">
        <f>(IF('Modelos de TES'!$J$3='Base de datos '!E315,'Modelos de TES'!$K$3+'Modelos de TES'!$G$3,'Modelos de TES'!$K$3))/((1+'Modelos de TES'!$I$3)^('Base de datos '!G315/365))</f>
        <v>3.4486662417764262</v>
      </c>
      <c r="I315" s="36">
        <f>IF('Modelos de TES'!$J$3&gt;='Base de datos '!E315,'Base de datos '!H315,0)</f>
        <v>0</v>
      </c>
    </row>
    <row r="316" spans="5:9" x14ac:dyDescent="0.3">
      <c r="E316" s="13">
        <f t="shared" si="15"/>
        <v>314</v>
      </c>
      <c r="F316" s="14" t="e">
        <f t="shared" si="14"/>
        <v>#NUM!</v>
      </c>
      <c r="G316" s="33">
        <f t="shared" si="13"/>
        <v>114463</v>
      </c>
      <c r="H316" s="34">
        <f>(IF('Modelos de TES'!$J$3='Base de datos '!E316,'Modelos de TES'!$K$3+'Modelos de TES'!$G$3,'Modelos de TES'!$K$3))/((1+'Modelos de TES'!$I$3)^('Base de datos '!G316/365))</f>
        <v>3.2844440397870716</v>
      </c>
      <c r="I316" s="36">
        <f>IF('Modelos de TES'!$J$3&gt;='Base de datos '!E316,'Base de datos '!H316,0)</f>
        <v>0</v>
      </c>
    </row>
    <row r="317" spans="5:9" x14ac:dyDescent="0.3">
      <c r="E317" s="13">
        <f t="shared" si="15"/>
        <v>315</v>
      </c>
      <c r="F317" s="14" t="e">
        <f t="shared" si="14"/>
        <v>#NUM!</v>
      </c>
      <c r="G317" s="33">
        <f t="shared" si="13"/>
        <v>114828</v>
      </c>
      <c r="H317" s="34">
        <f>(IF('Modelos de TES'!$J$3='Base de datos '!E317,'Modelos de TES'!$K$3+'Modelos de TES'!$G$3,'Modelos de TES'!$K$3))/((1+'Modelos de TES'!$I$3)^('Base de datos '!G317/365))</f>
        <v>3.1280419426543538</v>
      </c>
      <c r="I317" s="36">
        <f>IF('Modelos de TES'!$J$3&gt;='Base de datos '!E317,'Base de datos '!H317,0)</f>
        <v>0</v>
      </c>
    </row>
    <row r="318" spans="5:9" x14ac:dyDescent="0.3">
      <c r="E318" s="13">
        <f t="shared" si="15"/>
        <v>316</v>
      </c>
      <c r="F318" s="14" t="e">
        <f t="shared" si="14"/>
        <v>#NUM!</v>
      </c>
      <c r="G318" s="33">
        <f t="shared" si="13"/>
        <v>115193</v>
      </c>
      <c r="H318" s="34">
        <f>(IF('Modelos de TES'!$J$3='Base de datos '!E318,'Modelos de TES'!$K$3+'Modelos de TES'!$G$3,'Modelos de TES'!$K$3))/((1+'Modelos de TES'!$I$3)^('Base de datos '!G318/365))</f>
        <v>2.9790875644327173</v>
      </c>
      <c r="I318" s="36">
        <f>IF('Modelos de TES'!$J$3&gt;='Base de datos '!E318,'Base de datos '!H318,0)</f>
        <v>0</v>
      </c>
    </row>
    <row r="319" spans="5:9" x14ac:dyDescent="0.3">
      <c r="E319" s="13">
        <f t="shared" si="15"/>
        <v>317</v>
      </c>
      <c r="F319" s="14" t="e">
        <f t="shared" si="14"/>
        <v>#NUM!</v>
      </c>
      <c r="G319" s="33">
        <f t="shared" si="13"/>
        <v>115558</v>
      </c>
      <c r="H319" s="34">
        <f>(IF('Modelos de TES'!$J$3='Base de datos '!E319,'Modelos de TES'!$K$3+'Modelos de TES'!$G$3,'Modelos de TES'!$K$3))/((1+'Modelos de TES'!$I$3)^('Base de datos '!G319/365))</f>
        <v>2.8372262518406881</v>
      </c>
      <c r="I319" s="36">
        <f>IF('Modelos de TES'!$J$3&gt;='Base de datos '!E319,'Base de datos '!H319,0)</f>
        <v>0</v>
      </c>
    </row>
    <row r="320" spans="5:9" x14ac:dyDescent="0.3">
      <c r="E320" s="13">
        <f t="shared" si="15"/>
        <v>318</v>
      </c>
      <c r="F320" s="14" t="e">
        <f t="shared" si="14"/>
        <v>#NUM!</v>
      </c>
      <c r="G320" s="33">
        <f t="shared" si="13"/>
        <v>115923</v>
      </c>
      <c r="H320" s="34">
        <f>(IF('Modelos de TES'!$J$3='Base de datos '!E320,'Modelos de TES'!$K$3+'Modelos de TES'!$G$3,'Modelos de TES'!$K$3))/((1+'Modelos de TES'!$I$3)^('Base de datos '!G320/365))</f>
        <v>2.702120239848274</v>
      </c>
      <c r="I320" s="36">
        <f>IF('Modelos de TES'!$J$3&gt;='Base de datos '!E320,'Base de datos '!H320,0)</f>
        <v>0</v>
      </c>
    </row>
    <row r="321" spans="5:9" x14ac:dyDescent="0.3">
      <c r="E321" s="13">
        <f t="shared" si="15"/>
        <v>319</v>
      </c>
      <c r="F321" s="14" t="e">
        <f t="shared" si="14"/>
        <v>#NUM!</v>
      </c>
      <c r="G321" s="33">
        <f t="shared" si="13"/>
        <v>116288</v>
      </c>
      <c r="H321" s="34">
        <f>(IF('Modelos de TES'!$J$3='Base de datos '!E321,'Modelos de TES'!$K$3+'Modelos de TES'!$G$3,'Modelos de TES'!$K$3))/((1+'Modelos de TES'!$I$3)^('Base de datos '!G321/365))</f>
        <v>2.5734478474745459</v>
      </c>
      <c r="I321" s="36">
        <f>IF('Modelos de TES'!$J$3&gt;='Base de datos '!E321,'Base de datos '!H321,0)</f>
        <v>0</v>
      </c>
    </row>
    <row r="322" spans="5:9" x14ac:dyDescent="0.3">
      <c r="E322" s="13">
        <f t="shared" si="15"/>
        <v>320</v>
      </c>
      <c r="F322" s="14" t="e">
        <f t="shared" si="14"/>
        <v>#NUM!</v>
      </c>
      <c r="G322" s="33">
        <f t="shared" si="13"/>
        <v>116653</v>
      </c>
      <c r="H322" s="34">
        <f>(IF('Modelos de TES'!$J$3='Base de datos '!E322,'Modelos de TES'!$K$3+'Modelos de TES'!$G$3,'Modelos de TES'!$K$3))/((1+'Modelos de TES'!$I$3)^('Base de datos '!G322/365))</f>
        <v>2.4509027118805196</v>
      </c>
      <c r="I322" s="36">
        <f>IF('Modelos de TES'!$J$3&gt;='Base de datos '!E322,'Base de datos '!H322,0)</f>
        <v>0</v>
      </c>
    </row>
    <row r="323" spans="5:9" x14ac:dyDescent="0.3">
      <c r="E323" s="13">
        <f t="shared" si="15"/>
        <v>321</v>
      </c>
      <c r="F323" s="14" t="e">
        <f t="shared" si="14"/>
        <v>#NUM!</v>
      </c>
      <c r="G323" s="33">
        <f t="shared" si="13"/>
        <v>117018</v>
      </c>
      <c r="H323" s="34">
        <f>(IF('Modelos de TES'!$J$3='Base de datos '!E323,'Modelos de TES'!$K$3+'Modelos de TES'!$G$3,'Modelos de TES'!$K$3))/((1+'Modelos de TES'!$I$3)^('Base de datos '!G323/365))</f>
        <v>2.334193058933828</v>
      </c>
      <c r="I323" s="36">
        <f>IF('Modelos de TES'!$J$3&gt;='Base de datos '!E323,'Base de datos '!H323,0)</f>
        <v>0</v>
      </c>
    </row>
    <row r="324" spans="5:9" x14ac:dyDescent="0.3">
      <c r="E324" s="13">
        <f t="shared" si="15"/>
        <v>322</v>
      </c>
      <c r="F324" s="14" t="e">
        <f t="shared" si="14"/>
        <v>#NUM!</v>
      </c>
      <c r="G324" s="33">
        <f t="shared" si="13"/>
        <v>117383</v>
      </c>
      <c r="H324" s="34">
        <f>(IF('Modelos de TES'!$J$3='Base de datos '!E324,'Modelos de TES'!$K$3+'Modelos de TES'!$G$3,'Modelos de TES'!$K$3))/((1+'Modelos de TES'!$I$3)^('Base de datos '!G324/365))</f>
        <v>2.2230410085084071</v>
      </c>
      <c r="I324" s="36">
        <f>IF('Modelos de TES'!$J$3&gt;='Base de datos '!E324,'Base de datos '!H324,0)</f>
        <v>0</v>
      </c>
    </row>
    <row r="325" spans="5:9" x14ac:dyDescent="0.3">
      <c r="E325" s="13">
        <f t="shared" si="15"/>
        <v>323</v>
      </c>
      <c r="F325" s="14" t="e">
        <f t="shared" si="14"/>
        <v>#NUM!</v>
      </c>
      <c r="G325" s="33">
        <f t="shared" ref="G325:G383" si="16">G324+365</f>
        <v>117748</v>
      </c>
      <c r="H325" s="34">
        <f>(IF('Modelos de TES'!$J$3='Base de datos '!E325,'Modelos de TES'!$K$3+'Modelos de TES'!$G$3,'Modelos de TES'!$K$3))/((1+'Modelos de TES'!$I$3)^('Base de datos '!G325/365))</f>
        <v>2.1171819128651492</v>
      </c>
      <c r="I325" s="36">
        <f>IF('Modelos de TES'!$J$3&gt;='Base de datos '!E325,'Base de datos '!H325,0)</f>
        <v>0</v>
      </c>
    </row>
    <row r="326" spans="5:9" x14ac:dyDescent="0.3">
      <c r="E326" s="13">
        <f t="shared" si="15"/>
        <v>324</v>
      </c>
      <c r="F326" s="14" t="e">
        <f t="shared" si="14"/>
        <v>#NUM!</v>
      </c>
      <c r="G326" s="33">
        <f t="shared" si="16"/>
        <v>118113</v>
      </c>
      <c r="H326" s="34">
        <f>(IF('Modelos de TES'!$J$3='Base de datos '!E326,'Modelos de TES'!$K$3+'Modelos de TES'!$G$3,'Modelos de TES'!$K$3))/((1+'Modelos de TES'!$I$3)^('Base de datos '!G326/365))</f>
        <v>2.0163637265382368</v>
      </c>
      <c r="I326" s="36">
        <f>IF('Modelos de TES'!$J$3&gt;='Base de datos '!E326,'Base de datos '!H326,0)</f>
        <v>0</v>
      </c>
    </row>
    <row r="327" spans="5:9" x14ac:dyDescent="0.3">
      <c r="E327" s="13">
        <f t="shared" si="15"/>
        <v>325</v>
      </c>
      <c r="F327" s="14" t="e">
        <f t="shared" si="14"/>
        <v>#NUM!</v>
      </c>
      <c r="G327" s="33">
        <f t="shared" si="16"/>
        <v>118478</v>
      </c>
      <c r="H327" s="34">
        <f>(IF('Modelos de TES'!$J$3='Base de datos '!E327,'Modelos de TES'!$K$3+'Modelos de TES'!$G$3,'Modelos de TES'!$K$3))/((1+'Modelos de TES'!$I$3)^('Base de datos '!G327/365))</f>
        <v>1.920346406226892</v>
      </c>
      <c r="I327" s="36">
        <f>IF('Modelos de TES'!$J$3&gt;='Base de datos '!E327,'Base de datos '!H327,0)</f>
        <v>0</v>
      </c>
    </row>
    <row r="328" spans="5:9" x14ac:dyDescent="0.3">
      <c r="E328" s="13">
        <f t="shared" si="15"/>
        <v>326</v>
      </c>
      <c r="F328" s="14" t="e">
        <f t="shared" si="14"/>
        <v>#NUM!</v>
      </c>
      <c r="G328" s="33">
        <f t="shared" si="16"/>
        <v>118843</v>
      </c>
      <c r="H328" s="34">
        <f>(IF('Modelos de TES'!$J$3='Base de datos '!E328,'Modelos de TES'!$K$3+'Modelos de TES'!$G$3,'Modelos de TES'!$K$3))/((1+'Modelos de TES'!$I$3)^('Base de datos '!G328/365))</f>
        <v>1.8289013392637066</v>
      </c>
      <c r="I328" s="36">
        <f>IF('Modelos de TES'!$J$3&gt;='Base de datos '!E328,'Base de datos '!H328,0)</f>
        <v>0</v>
      </c>
    </row>
    <row r="329" spans="5:9" x14ac:dyDescent="0.3">
      <c r="E329" s="13">
        <f t="shared" si="15"/>
        <v>327</v>
      </c>
      <c r="F329" s="14" t="e">
        <f t="shared" si="14"/>
        <v>#NUM!</v>
      </c>
      <c r="G329" s="33">
        <f t="shared" si="16"/>
        <v>119208</v>
      </c>
      <c r="H329" s="34">
        <f>(IF('Modelos de TES'!$J$3='Base de datos '!E329,'Modelos de TES'!$K$3+'Modelos de TES'!$G$3,'Modelos de TES'!$K$3))/((1+'Modelos de TES'!$I$3)^('Base de datos '!G329/365))</f>
        <v>1.7418107992987679</v>
      </c>
      <c r="I329" s="36">
        <f>IF('Modelos de TES'!$J$3&gt;='Base de datos '!E329,'Base de datos '!H329,0)</f>
        <v>0</v>
      </c>
    </row>
    <row r="330" spans="5:9" x14ac:dyDescent="0.3">
      <c r="E330" s="13">
        <f t="shared" si="15"/>
        <v>328</v>
      </c>
      <c r="F330" s="14" t="e">
        <f t="shared" si="14"/>
        <v>#NUM!</v>
      </c>
      <c r="G330" s="33">
        <f t="shared" si="16"/>
        <v>119573</v>
      </c>
      <c r="H330" s="34">
        <f>(IF('Modelos de TES'!$J$3='Base de datos '!E330,'Modelos de TES'!$K$3+'Modelos de TES'!$G$3,'Modelos de TES'!$K$3))/((1+'Modelos de TES'!$I$3)^('Base de datos '!G330/365))</f>
        <v>1.658867427903588</v>
      </c>
      <c r="I330" s="36">
        <f>IF('Modelos de TES'!$J$3&gt;='Base de datos '!E330,'Base de datos '!H330,0)</f>
        <v>0</v>
      </c>
    </row>
    <row r="331" spans="5:9" x14ac:dyDescent="0.3">
      <c r="E331" s="13">
        <f t="shared" si="15"/>
        <v>329</v>
      </c>
      <c r="F331" s="14" t="e">
        <f t="shared" si="14"/>
        <v>#NUM!</v>
      </c>
      <c r="G331" s="33">
        <f t="shared" si="16"/>
        <v>119938</v>
      </c>
      <c r="H331" s="34">
        <f>(IF('Modelos de TES'!$J$3='Base de datos '!E331,'Modelos de TES'!$K$3+'Modelos de TES'!$G$3,'Modelos de TES'!$K$3))/((1+'Modelos de TES'!$I$3)^('Base de datos '!G331/365))</f>
        <v>1.5798737408605625</v>
      </c>
      <c r="I331" s="36">
        <f>IF('Modelos de TES'!$J$3&gt;='Base de datos '!E331,'Base de datos '!H331,0)</f>
        <v>0</v>
      </c>
    </row>
    <row r="332" spans="5:9" x14ac:dyDescent="0.3">
      <c r="E332" s="13">
        <f t="shared" si="15"/>
        <v>330</v>
      </c>
      <c r="F332" s="14" t="e">
        <f t="shared" si="14"/>
        <v>#NUM!</v>
      </c>
      <c r="G332" s="33">
        <f t="shared" si="16"/>
        <v>120303</v>
      </c>
      <c r="H332" s="34">
        <f>(IF('Modelos de TES'!$J$3='Base de datos '!E332,'Modelos de TES'!$K$3+'Modelos de TES'!$G$3,'Modelos de TES'!$K$3))/((1+'Modelos de TES'!$I$3)^('Base de datos '!G332/365))</f>
        <v>1.5046416579624402</v>
      </c>
      <c r="I332" s="36">
        <f>IF('Modelos de TES'!$J$3&gt;='Base de datos '!E332,'Base de datos '!H332,0)</f>
        <v>0</v>
      </c>
    </row>
    <row r="333" spans="5:9" x14ac:dyDescent="0.3">
      <c r="E333" s="13">
        <f t="shared" si="15"/>
        <v>331</v>
      </c>
      <c r="F333" s="14" t="e">
        <f t="shared" ref="F333:F383" si="17">COUPNCD(F332,$D$2,1,3)</f>
        <v>#NUM!</v>
      </c>
      <c r="G333" s="33">
        <f t="shared" si="16"/>
        <v>120668</v>
      </c>
      <c r="H333" s="34">
        <f>(IF('Modelos de TES'!$J$3='Base de datos '!E333,'Modelos de TES'!$K$3+'Modelos de TES'!$G$3,'Modelos de TES'!$K$3))/((1+'Modelos de TES'!$I$3)^('Base de datos '!G333/365))</f>
        <v>1.4329920552023241</v>
      </c>
      <c r="I333" s="36">
        <f>IF('Modelos de TES'!$J$3&gt;='Base de datos '!E333,'Base de datos '!H333,0)</f>
        <v>0</v>
      </c>
    </row>
    <row r="334" spans="5:9" x14ac:dyDescent="0.3">
      <c r="E334" s="13">
        <f t="shared" ref="E334:E383" si="18">E333+1</f>
        <v>332</v>
      </c>
      <c r="F334" s="14" t="e">
        <f t="shared" si="17"/>
        <v>#NUM!</v>
      </c>
      <c r="G334" s="33">
        <f t="shared" si="16"/>
        <v>121033</v>
      </c>
      <c r="H334" s="34">
        <f>(IF('Modelos de TES'!$J$3='Base de datos '!E334,'Modelos de TES'!$K$3+'Modelos de TES'!$G$3,'Modelos de TES'!$K$3))/((1+'Modelos de TES'!$I$3)^('Base de datos '!G334/365))</f>
        <v>1.3647543382879275</v>
      </c>
      <c r="I334" s="36">
        <f>IF('Modelos de TES'!$J$3&gt;='Base de datos '!E334,'Base de datos '!H334,0)</f>
        <v>0</v>
      </c>
    </row>
    <row r="335" spans="5:9" x14ac:dyDescent="0.3">
      <c r="E335" s="13">
        <f t="shared" si="18"/>
        <v>333</v>
      </c>
      <c r="F335" s="14" t="e">
        <f t="shared" si="17"/>
        <v>#NUM!</v>
      </c>
      <c r="G335" s="33">
        <f t="shared" si="16"/>
        <v>121398</v>
      </c>
      <c r="H335" s="34">
        <f>(IF('Modelos de TES'!$J$3='Base de datos '!E335,'Modelos de TES'!$K$3+'Modelos de TES'!$G$3,'Modelos de TES'!$K$3))/((1+'Modelos de TES'!$I$3)^('Base de datos '!G335/365))</f>
        <v>1.2997660364646926</v>
      </c>
      <c r="I335" s="36">
        <f>IF('Modelos de TES'!$J$3&gt;='Base de datos '!E335,'Base de datos '!H335,0)</f>
        <v>0</v>
      </c>
    </row>
    <row r="336" spans="5:9" x14ac:dyDescent="0.3">
      <c r="E336" s="13">
        <f t="shared" si="18"/>
        <v>334</v>
      </c>
      <c r="F336" s="14" t="e">
        <f t="shared" si="17"/>
        <v>#NUM!</v>
      </c>
      <c r="G336" s="33">
        <f t="shared" si="16"/>
        <v>121763</v>
      </c>
      <c r="H336" s="34">
        <f>(IF('Modelos de TES'!$J$3='Base de datos '!E336,'Modelos de TES'!$K$3+'Modelos de TES'!$G$3,'Modelos de TES'!$K$3))/((1+'Modelos de TES'!$I$3)^('Base de datos '!G336/365))</f>
        <v>1.2378724156806595</v>
      </c>
      <c r="I336" s="36">
        <f>IF('Modelos de TES'!$J$3&gt;='Base de datos '!E336,'Base de datos '!H336,0)</f>
        <v>0</v>
      </c>
    </row>
    <row r="337" spans="5:9" x14ac:dyDescent="0.3">
      <c r="E337" s="13">
        <f t="shared" si="18"/>
        <v>335</v>
      </c>
      <c r="F337" s="14" t="e">
        <f t="shared" si="17"/>
        <v>#NUM!</v>
      </c>
      <c r="G337" s="33">
        <f t="shared" si="16"/>
        <v>122128</v>
      </c>
      <c r="H337" s="34">
        <f>(IF('Modelos de TES'!$J$3='Base de datos '!E337,'Modelos de TES'!$K$3+'Modelos de TES'!$G$3,'Modelos de TES'!$K$3))/((1+'Modelos de TES'!$I$3)^('Base de datos '!G337/365))</f>
        <v>1.1789261101720565</v>
      </c>
      <c r="I337" s="36">
        <f>IF('Modelos de TES'!$J$3&gt;='Base de datos '!E337,'Base de datos '!H337,0)</f>
        <v>0</v>
      </c>
    </row>
    <row r="338" spans="5:9" x14ac:dyDescent="0.3">
      <c r="E338" s="13">
        <f t="shared" si="18"/>
        <v>336</v>
      </c>
      <c r="F338" s="14" t="e">
        <f t="shared" si="17"/>
        <v>#NUM!</v>
      </c>
      <c r="G338" s="33">
        <f t="shared" si="16"/>
        <v>122493</v>
      </c>
      <c r="H338" s="34">
        <f>(IF('Modelos de TES'!$J$3='Base de datos '!E338,'Modelos de TES'!$K$3+'Modelos de TES'!$G$3,'Modelos de TES'!$K$3))/((1+'Modelos de TES'!$I$3)^('Base de datos '!G338/365))</f>
        <v>1.1227867715924345</v>
      </c>
      <c r="I338" s="36">
        <f>IF('Modelos de TES'!$J$3&gt;='Base de datos '!E338,'Base de datos '!H338,0)</f>
        <v>0</v>
      </c>
    </row>
    <row r="339" spans="5:9" x14ac:dyDescent="0.3">
      <c r="E339" s="13">
        <f t="shared" si="18"/>
        <v>337</v>
      </c>
      <c r="F339" s="14" t="e">
        <f t="shared" si="17"/>
        <v>#NUM!</v>
      </c>
      <c r="G339" s="33">
        <f t="shared" si="16"/>
        <v>122858</v>
      </c>
      <c r="H339" s="34">
        <f>(IF('Modelos de TES'!$J$3='Base de datos '!E339,'Modelos de TES'!$K$3+'Modelos de TES'!$G$3,'Modelos de TES'!$K$3))/((1+'Modelos de TES'!$I$3)^('Base de datos '!G339/365))</f>
        <v>1.0693207348499374</v>
      </c>
      <c r="I339" s="36">
        <f>IF('Modelos de TES'!$J$3&gt;='Base de datos '!E339,'Base de datos '!H339,0)</f>
        <v>0</v>
      </c>
    </row>
    <row r="340" spans="5:9" x14ac:dyDescent="0.3">
      <c r="E340" s="13">
        <f t="shared" si="18"/>
        <v>338</v>
      </c>
      <c r="F340" s="14" t="e">
        <f t="shared" si="17"/>
        <v>#NUM!</v>
      </c>
      <c r="G340" s="33">
        <f t="shared" si="16"/>
        <v>123223</v>
      </c>
      <c r="H340" s="34">
        <f>(IF('Modelos de TES'!$J$3='Base de datos '!E340,'Modelos de TES'!$K$3+'Modelos de TES'!$G$3,'Modelos de TES'!$K$3))/((1+'Modelos de TES'!$I$3)^('Base de datos '!G340/365))</f>
        <v>1.0184006998570831</v>
      </c>
      <c r="I340" s="36">
        <f>IF('Modelos de TES'!$J$3&gt;='Base de datos '!E340,'Base de datos '!H340,0)</f>
        <v>0</v>
      </c>
    </row>
    <row r="341" spans="5:9" x14ac:dyDescent="0.3">
      <c r="E341" s="13">
        <f t="shared" si="18"/>
        <v>339</v>
      </c>
      <c r="F341" s="14" t="e">
        <f t="shared" si="17"/>
        <v>#NUM!</v>
      </c>
      <c r="G341" s="33">
        <f t="shared" si="16"/>
        <v>123588</v>
      </c>
      <c r="H341" s="34">
        <f>(IF('Modelos de TES'!$J$3='Base de datos '!E341,'Modelos de TES'!$K$3+'Modelos de TES'!$G$3,'Modelos de TES'!$K$3))/((1+'Modelos de TES'!$I$3)^('Base de datos '!G341/365))</f>
        <v>0.96990542843531713</v>
      </c>
      <c r="I341" s="36">
        <f>IF('Modelos de TES'!$J$3&gt;='Base de datos '!E341,'Base de datos '!H341,0)</f>
        <v>0</v>
      </c>
    </row>
    <row r="342" spans="5:9" x14ac:dyDescent="0.3">
      <c r="E342" s="13">
        <f t="shared" si="18"/>
        <v>340</v>
      </c>
      <c r="F342" s="14" t="e">
        <f t="shared" si="17"/>
        <v>#NUM!</v>
      </c>
      <c r="G342" s="33">
        <f t="shared" si="16"/>
        <v>123953</v>
      </c>
      <c r="H342" s="34">
        <f>(IF('Modelos de TES'!$J$3='Base de datos '!E342,'Modelos de TES'!$K$3+'Modelos de TES'!$G$3,'Modelos de TES'!$K$3))/((1+'Modelos de TES'!$I$3)^('Base de datos '!G342/365))</f>
        <v>0.92371945565268276</v>
      </c>
      <c r="I342" s="36">
        <f>IF('Modelos de TES'!$J$3&gt;='Base de datos '!E342,'Base de datos '!H342,0)</f>
        <v>0</v>
      </c>
    </row>
    <row r="343" spans="5:9" x14ac:dyDescent="0.3">
      <c r="E343" s="13">
        <f t="shared" si="18"/>
        <v>341</v>
      </c>
      <c r="F343" s="14" t="e">
        <f t="shared" si="17"/>
        <v>#NUM!</v>
      </c>
      <c r="G343" s="33">
        <f t="shared" si="16"/>
        <v>124318</v>
      </c>
      <c r="H343" s="34">
        <f>(IF('Modelos de TES'!$J$3='Base de datos '!E343,'Modelos de TES'!$K$3+'Modelos de TES'!$G$3,'Modelos de TES'!$K$3))/((1+'Modelos de TES'!$I$3)^('Base de datos '!G343/365))</f>
        <v>0.87973281490731681</v>
      </c>
      <c r="I343" s="36">
        <f>IF('Modelos de TES'!$J$3&gt;='Base de datos '!E343,'Base de datos '!H343,0)</f>
        <v>0</v>
      </c>
    </row>
    <row r="344" spans="5:9" x14ac:dyDescent="0.3">
      <c r="E344" s="13">
        <f t="shared" si="18"/>
        <v>342</v>
      </c>
      <c r="F344" s="14" t="e">
        <f t="shared" si="17"/>
        <v>#NUM!</v>
      </c>
      <c r="G344" s="33">
        <f t="shared" si="16"/>
        <v>124683</v>
      </c>
      <c r="H344" s="34">
        <f>(IF('Modelos de TES'!$J$3='Base de datos '!E344,'Modelos de TES'!$K$3+'Modelos de TES'!$G$3,'Modelos de TES'!$K$3))/((1+'Modelos de TES'!$I$3)^('Base de datos '!G344/365))</f>
        <v>0.83784077610220642</v>
      </c>
      <c r="I344" s="36">
        <f>IF('Modelos de TES'!$J$3&gt;='Base de datos '!E344,'Base de datos '!H344,0)</f>
        <v>0</v>
      </c>
    </row>
    <row r="345" spans="5:9" x14ac:dyDescent="0.3">
      <c r="E345" s="13">
        <f t="shared" si="18"/>
        <v>343</v>
      </c>
      <c r="F345" s="14" t="e">
        <f t="shared" si="17"/>
        <v>#NUM!</v>
      </c>
      <c r="G345" s="33">
        <f t="shared" si="16"/>
        <v>125048</v>
      </c>
      <c r="H345" s="34">
        <f>(IF('Modelos de TES'!$J$3='Base de datos '!E345,'Modelos de TES'!$K$3+'Modelos de TES'!$G$3,'Modelos de TES'!$K$3))/((1+'Modelos de TES'!$I$3)^('Base de datos '!G345/365))</f>
        <v>0.79794359628781553</v>
      </c>
      <c r="I345" s="36">
        <f>IF('Modelos de TES'!$J$3&gt;='Base de datos '!E345,'Base de datos '!H345,0)</f>
        <v>0</v>
      </c>
    </row>
    <row r="346" spans="5:9" x14ac:dyDescent="0.3">
      <c r="E346" s="13">
        <f t="shared" si="18"/>
        <v>344</v>
      </c>
      <c r="F346" s="14" t="e">
        <f t="shared" si="17"/>
        <v>#NUM!</v>
      </c>
      <c r="G346" s="33">
        <f t="shared" si="16"/>
        <v>125413</v>
      </c>
      <c r="H346" s="34">
        <f>(IF('Modelos de TES'!$J$3='Base de datos '!E346,'Modelos de TES'!$K$3+'Modelos de TES'!$G$3,'Modelos de TES'!$K$3))/((1+'Modelos de TES'!$I$3)^('Base de datos '!G346/365))</f>
        <v>0.75994628217887172</v>
      </c>
      <c r="I346" s="36">
        <f>IF('Modelos de TES'!$J$3&gt;='Base de datos '!E346,'Base de datos '!H346,0)</f>
        <v>0</v>
      </c>
    </row>
    <row r="347" spans="5:9" x14ac:dyDescent="0.3">
      <c r="E347" s="13">
        <f t="shared" si="18"/>
        <v>345</v>
      </c>
      <c r="F347" s="14" t="e">
        <f t="shared" si="17"/>
        <v>#NUM!</v>
      </c>
      <c r="G347" s="33">
        <f t="shared" si="16"/>
        <v>125778</v>
      </c>
      <c r="H347" s="34">
        <f>(IF('Modelos de TES'!$J$3='Base de datos '!E347,'Modelos de TES'!$K$3+'Modelos de TES'!$G$3,'Modelos de TES'!$K$3))/((1+'Modelos de TES'!$I$3)^('Base de datos '!G347/365))</f>
        <v>0.72375836397987781</v>
      </c>
      <c r="I347" s="36">
        <f>IF('Modelos de TES'!$J$3&gt;='Base de datos '!E347,'Base de datos '!H347,0)</f>
        <v>0</v>
      </c>
    </row>
    <row r="348" spans="5:9" x14ac:dyDescent="0.3">
      <c r="E348" s="13">
        <f t="shared" si="18"/>
        <v>346</v>
      </c>
      <c r="F348" s="14" t="e">
        <f t="shared" si="17"/>
        <v>#NUM!</v>
      </c>
      <c r="G348" s="33">
        <f t="shared" si="16"/>
        <v>126143</v>
      </c>
      <c r="H348" s="34">
        <f>(IF('Modelos de TES'!$J$3='Base de datos '!E348,'Modelos de TES'!$K$3+'Modelos de TES'!$G$3,'Modelos de TES'!$K$3))/((1+'Modelos de TES'!$I$3)^('Base de datos '!G348/365))</f>
        <v>0.68929367998083579</v>
      </c>
      <c r="I348" s="36">
        <f>IF('Modelos de TES'!$J$3&gt;='Base de datos '!E348,'Base de datos '!H348,0)</f>
        <v>0</v>
      </c>
    </row>
    <row r="349" spans="5:9" x14ac:dyDescent="0.3">
      <c r="E349" s="13">
        <f t="shared" si="18"/>
        <v>347</v>
      </c>
      <c r="F349" s="14" t="e">
        <f t="shared" si="17"/>
        <v>#NUM!</v>
      </c>
      <c r="G349" s="33">
        <f t="shared" si="16"/>
        <v>126508</v>
      </c>
      <c r="H349" s="34">
        <f>(IF('Modelos de TES'!$J$3='Base de datos '!E349,'Modelos de TES'!$K$3+'Modelos de TES'!$G$3,'Modelos de TES'!$K$3))/((1+'Modelos de TES'!$I$3)^('Base de datos '!G349/365))</f>
        <v>0.65647017141031971</v>
      </c>
      <c r="I349" s="36">
        <f>IF('Modelos de TES'!$J$3&gt;='Base de datos '!E349,'Base de datos '!H349,0)</f>
        <v>0</v>
      </c>
    </row>
    <row r="350" spans="5:9" x14ac:dyDescent="0.3">
      <c r="E350" s="13">
        <f t="shared" si="18"/>
        <v>348</v>
      </c>
      <c r="F350" s="14" t="e">
        <f t="shared" si="17"/>
        <v>#NUM!</v>
      </c>
      <c r="G350" s="33">
        <f t="shared" si="16"/>
        <v>126873</v>
      </c>
      <c r="H350" s="34">
        <f>(IF('Modelos de TES'!$J$3='Base de datos '!E350,'Modelos de TES'!$K$3+'Modelos de TES'!$G$3,'Modelos de TES'!$K$3))/((1+'Modelos de TES'!$I$3)^('Base de datos '!G350/365))</f>
        <v>0.62520968705744728</v>
      </c>
      <c r="I350" s="36">
        <f>IF('Modelos de TES'!$J$3&gt;='Base de datos '!E350,'Base de datos '!H350,0)</f>
        <v>0</v>
      </c>
    </row>
    <row r="351" spans="5:9" x14ac:dyDescent="0.3">
      <c r="E351" s="13">
        <f t="shared" si="18"/>
        <v>349</v>
      </c>
      <c r="F351" s="14" t="e">
        <f t="shared" si="17"/>
        <v>#NUM!</v>
      </c>
      <c r="G351" s="33">
        <f t="shared" si="16"/>
        <v>127238</v>
      </c>
      <c r="H351" s="34">
        <f>(IF('Modelos de TES'!$J$3='Base de datos '!E351,'Modelos de TES'!$K$3+'Modelos de TES'!$G$3,'Modelos de TES'!$K$3))/((1+'Modelos de TES'!$I$3)^('Base de datos '!G351/365))</f>
        <v>0.59543779719756873</v>
      </c>
      <c r="I351" s="36">
        <f>IF('Modelos de TES'!$J$3&gt;='Base de datos '!E351,'Base de datos '!H351,0)</f>
        <v>0</v>
      </c>
    </row>
    <row r="352" spans="5:9" x14ac:dyDescent="0.3">
      <c r="E352" s="13">
        <f t="shared" si="18"/>
        <v>350</v>
      </c>
      <c r="F352" s="14" t="e">
        <f t="shared" si="17"/>
        <v>#NUM!</v>
      </c>
      <c r="G352" s="33">
        <f t="shared" si="16"/>
        <v>127603</v>
      </c>
      <c r="H352" s="34">
        <f>(IF('Modelos de TES'!$J$3='Base de datos '!E352,'Modelos de TES'!$K$3+'Modelos de TES'!$G$3,'Modelos de TES'!$K$3))/((1+'Modelos de TES'!$I$3)^('Base de datos '!G352/365))</f>
        <v>0.5670836163786368</v>
      </c>
      <c r="I352" s="36">
        <f>IF('Modelos de TES'!$J$3&gt;='Base de datos '!E352,'Base de datos '!H352,0)</f>
        <v>0</v>
      </c>
    </row>
    <row r="353" spans="5:9" x14ac:dyDescent="0.3">
      <c r="E353" s="13">
        <f t="shared" si="18"/>
        <v>351</v>
      </c>
      <c r="F353" s="14" t="e">
        <f t="shared" si="17"/>
        <v>#NUM!</v>
      </c>
      <c r="G353" s="33">
        <f t="shared" si="16"/>
        <v>127968</v>
      </c>
      <c r="H353" s="34">
        <f>(IF('Modelos de TES'!$J$3='Base de datos '!E353,'Modelos de TES'!$K$3+'Modelos de TES'!$G$3,'Modelos de TES'!$K$3))/((1+'Modelos de TES'!$I$3)^('Base de datos '!G353/365))</f>
        <v>0.54007963464632069</v>
      </c>
      <c r="I353" s="36">
        <f>IF('Modelos de TES'!$J$3&gt;='Base de datos '!E353,'Base de datos '!H353,0)</f>
        <v>0</v>
      </c>
    </row>
    <row r="354" spans="5:9" x14ac:dyDescent="0.3">
      <c r="E354" s="13">
        <f t="shared" si="18"/>
        <v>352</v>
      </c>
      <c r="F354" s="14" t="e">
        <f t="shared" si="17"/>
        <v>#NUM!</v>
      </c>
      <c r="G354" s="33">
        <f t="shared" si="16"/>
        <v>128333</v>
      </c>
      <c r="H354" s="34">
        <f>(IF('Modelos de TES'!$J$3='Base de datos '!E354,'Modelos de TES'!$K$3+'Modelos de TES'!$G$3,'Modelos de TES'!$K$3))/((1+'Modelos de TES'!$I$3)^('Base de datos '!G354/365))</f>
        <v>0.51436155680601958</v>
      </c>
      <c r="I354" s="36">
        <f>IF('Modelos de TES'!$J$3&gt;='Base de datos '!E354,'Base de datos '!H354,0)</f>
        <v>0</v>
      </c>
    </row>
    <row r="355" spans="5:9" x14ac:dyDescent="0.3">
      <c r="E355" s="13">
        <f t="shared" si="18"/>
        <v>353</v>
      </c>
      <c r="F355" s="14" t="e">
        <f t="shared" si="17"/>
        <v>#NUM!</v>
      </c>
      <c r="G355" s="33">
        <f t="shared" si="16"/>
        <v>128698</v>
      </c>
      <c r="H355" s="34">
        <f>(IF('Modelos de TES'!$J$3='Base de datos '!E355,'Modelos de TES'!$K$3+'Modelos de TES'!$G$3,'Modelos de TES'!$K$3))/((1+'Modelos de TES'!$I$3)^('Base de datos '!G355/365))</f>
        <v>0.48986814933906625</v>
      </c>
      <c r="I355" s="36">
        <f>IF('Modelos de TES'!$J$3&gt;='Base de datos '!E355,'Base de datos '!H355,0)</f>
        <v>0</v>
      </c>
    </row>
    <row r="356" spans="5:9" x14ac:dyDescent="0.3">
      <c r="E356" s="13">
        <f t="shared" si="18"/>
        <v>354</v>
      </c>
      <c r="F356" s="14" t="e">
        <f t="shared" si="17"/>
        <v>#NUM!</v>
      </c>
      <c r="G356" s="33">
        <f t="shared" si="16"/>
        <v>129063</v>
      </c>
      <c r="H356" s="34">
        <f>(IF('Modelos de TES'!$J$3='Base de datos '!E356,'Modelos de TES'!$K$3+'Modelos de TES'!$G$3,'Modelos de TES'!$K$3))/((1+'Modelos de TES'!$I$3)^('Base de datos '!G356/365))</f>
        <v>0.46654109460863441</v>
      </c>
      <c r="I356" s="36">
        <f>IF('Modelos de TES'!$J$3&gt;='Base de datos '!E356,'Base de datos '!H356,0)</f>
        <v>0</v>
      </c>
    </row>
    <row r="357" spans="5:9" x14ac:dyDescent="0.3">
      <c r="E357" s="13">
        <f t="shared" si="18"/>
        <v>355</v>
      </c>
      <c r="F357" s="14" t="e">
        <f t="shared" si="17"/>
        <v>#NUM!</v>
      </c>
      <c r="G357" s="33">
        <f t="shared" si="16"/>
        <v>129428</v>
      </c>
      <c r="H357" s="34">
        <f>(IF('Modelos de TES'!$J$3='Base de datos '!E357,'Modelos de TES'!$K$3+'Modelos de TES'!$G$3,'Modelos de TES'!$K$3))/((1+'Modelos de TES'!$I$3)^('Base de datos '!G357/365))</f>
        <v>0.44432485200822319</v>
      </c>
      <c r="I357" s="36">
        <f>IF('Modelos de TES'!$J$3&gt;='Base de datos '!E357,'Base de datos '!H357,0)</f>
        <v>0</v>
      </c>
    </row>
    <row r="358" spans="5:9" x14ac:dyDescent="0.3">
      <c r="E358" s="13">
        <f t="shared" si="18"/>
        <v>356</v>
      </c>
      <c r="F358" s="14" t="e">
        <f t="shared" si="17"/>
        <v>#NUM!</v>
      </c>
      <c r="G358" s="33">
        <f t="shared" si="16"/>
        <v>129793</v>
      </c>
      <c r="H358" s="34">
        <f>(IF('Modelos de TES'!$J$3='Base de datos '!E358,'Modelos de TES'!$K$3+'Modelos de TES'!$G$3,'Modelos de TES'!$K$3))/((1+'Modelos de TES'!$I$3)^('Base de datos '!G358/365))</f>
        <v>0.42316652572211727</v>
      </c>
      <c r="I358" s="36">
        <f>IF('Modelos de TES'!$J$3&gt;='Base de datos '!E358,'Base de datos '!H358,0)</f>
        <v>0</v>
      </c>
    </row>
    <row r="359" spans="5:9" x14ac:dyDescent="0.3">
      <c r="E359" s="13">
        <f t="shared" si="18"/>
        <v>357</v>
      </c>
      <c r="F359" s="14" t="e">
        <f t="shared" si="17"/>
        <v>#NUM!</v>
      </c>
      <c r="G359" s="33">
        <f t="shared" si="16"/>
        <v>130158</v>
      </c>
      <c r="H359" s="34">
        <f>(IF('Modelos de TES'!$J$3='Base de datos '!E359,'Modelos de TES'!$K$3+'Modelos de TES'!$G$3,'Modelos de TES'!$K$3))/((1+'Modelos de TES'!$I$3)^('Base de datos '!G359/365))</f>
        <v>0.4030157387829702</v>
      </c>
      <c r="I359" s="36">
        <f>IF('Modelos de TES'!$J$3&gt;='Base de datos '!E359,'Base de datos '!H359,0)</f>
        <v>0</v>
      </c>
    </row>
    <row r="360" spans="5:9" x14ac:dyDescent="0.3">
      <c r="E360" s="13">
        <f t="shared" si="18"/>
        <v>358</v>
      </c>
      <c r="F360" s="14" t="e">
        <f t="shared" si="17"/>
        <v>#NUM!</v>
      </c>
      <c r="G360" s="33">
        <f t="shared" si="16"/>
        <v>130523</v>
      </c>
      <c r="H360" s="34">
        <f>(IF('Modelos de TES'!$J$3='Base de datos '!E360,'Modelos de TES'!$K$3+'Modelos de TES'!$G$3,'Modelos de TES'!$K$3))/((1+'Modelos de TES'!$I$3)^('Base de datos '!G360/365))</f>
        <v>0.38382451312663818</v>
      </c>
      <c r="I360" s="36">
        <f>IF('Modelos de TES'!$J$3&gt;='Base de datos '!E360,'Base de datos '!H360,0)</f>
        <v>0</v>
      </c>
    </row>
    <row r="361" spans="5:9" x14ac:dyDescent="0.3">
      <c r="E361" s="13">
        <f t="shared" si="18"/>
        <v>359</v>
      </c>
      <c r="F361" s="14" t="e">
        <f t="shared" si="17"/>
        <v>#NUM!</v>
      </c>
      <c r="G361" s="33">
        <f t="shared" si="16"/>
        <v>130888</v>
      </c>
      <c r="H361" s="34">
        <f>(IF('Modelos de TES'!$J$3='Base de datos '!E361,'Modelos de TES'!$K$3+'Modelos de TES'!$G$3,'Modelos de TES'!$K$3))/((1+'Modelos de TES'!$I$3)^('Base de datos '!G361/365))</f>
        <v>0.36554715535870297</v>
      </c>
      <c r="I361" s="36">
        <f>IF('Modelos de TES'!$J$3&gt;='Base de datos '!E361,'Base de datos '!H361,0)</f>
        <v>0</v>
      </c>
    </row>
    <row r="362" spans="5:9" x14ac:dyDescent="0.3">
      <c r="E362" s="13">
        <f t="shared" si="18"/>
        <v>360</v>
      </c>
      <c r="F362" s="14" t="e">
        <f t="shared" si="17"/>
        <v>#NUM!</v>
      </c>
      <c r="G362" s="33">
        <f t="shared" si="16"/>
        <v>131253</v>
      </c>
      <c r="H362" s="34">
        <f>(IF('Modelos de TES'!$J$3='Base de datos '!E362,'Modelos de TES'!$K$3+'Modelos de TES'!$G$3,'Modelos de TES'!$K$3))/((1+'Modelos de TES'!$I$3)^('Base de datos '!G362/365))</f>
        <v>0.34814014796066944</v>
      </c>
      <c r="I362" s="36">
        <f>IF('Modelos de TES'!$J$3&gt;='Base de datos '!E362,'Base de datos '!H362,0)</f>
        <v>0</v>
      </c>
    </row>
    <row r="363" spans="5:9" x14ac:dyDescent="0.3">
      <c r="E363" s="13">
        <f t="shared" si="18"/>
        <v>361</v>
      </c>
      <c r="F363" s="14" t="e">
        <f t="shared" si="17"/>
        <v>#NUM!</v>
      </c>
      <c r="G363" s="33">
        <f t="shared" si="16"/>
        <v>131618</v>
      </c>
      <c r="H363" s="34">
        <f>(IF('Modelos de TES'!$J$3='Base de datos '!E363,'Modelos de TES'!$K$3+'Modelos de TES'!$G$3,'Modelos de TES'!$K$3))/((1+'Modelos de TES'!$I$3)^('Base de datos '!G363/365))</f>
        <v>0.33156204567682801</v>
      </c>
      <c r="I363" s="36">
        <f>IF('Modelos de TES'!$J$3&gt;='Base de datos '!E363,'Base de datos '!H363,0)</f>
        <v>0</v>
      </c>
    </row>
    <row r="364" spans="5:9" x14ac:dyDescent="0.3">
      <c r="E364" s="13">
        <f t="shared" si="18"/>
        <v>362</v>
      </c>
      <c r="F364" s="14" t="e">
        <f t="shared" si="17"/>
        <v>#NUM!</v>
      </c>
      <c r="G364" s="33">
        <f t="shared" si="16"/>
        <v>131983</v>
      </c>
      <c r="H364" s="34">
        <f>(IF('Modelos de TES'!$J$3='Base de datos '!E364,'Modelos de TES'!$K$3+'Modelos de TES'!$G$3,'Modelos de TES'!$K$3))/((1+'Modelos de TES'!$I$3)^('Base de datos '!G364/365))</f>
        <v>0.31577337683507428</v>
      </c>
      <c r="I364" s="36">
        <f>IF('Modelos de TES'!$J$3&gt;='Base de datos '!E364,'Base de datos '!H364,0)</f>
        <v>0</v>
      </c>
    </row>
    <row r="365" spans="5:9" x14ac:dyDescent="0.3">
      <c r="E365" s="13">
        <f t="shared" si="18"/>
        <v>363</v>
      </c>
      <c r="F365" s="14" t="e">
        <f t="shared" si="17"/>
        <v>#NUM!</v>
      </c>
      <c r="G365" s="33">
        <f t="shared" si="16"/>
        <v>132348</v>
      </c>
      <c r="H365" s="34">
        <f>(IF('Modelos de TES'!$J$3='Base de datos '!E365,'Modelos de TES'!$K$3+'Modelos de TES'!$G$3,'Modelos de TES'!$K$3))/((1+'Modelos de TES'!$I$3)^('Base de datos '!G365/365))</f>
        <v>0.30073654936673733</v>
      </c>
      <c r="I365" s="36">
        <f>IF('Modelos de TES'!$J$3&gt;='Base de datos '!E365,'Base de datos '!H365,0)</f>
        <v>0</v>
      </c>
    </row>
    <row r="366" spans="5:9" x14ac:dyDescent="0.3">
      <c r="E366" s="13">
        <f t="shared" si="18"/>
        <v>364</v>
      </c>
      <c r="F366" s="14" t="e">
        <f t="shared" si="17"/>
        <v>#NUM!</v>
      </c>
      <c r="G366" s="33">
        <f t="shared" si="16"/>
        <v>132713</v>
      </c>
      <c r="H366" s="34">
        <f>(IF('Modelos de TES'!$J$3='Base de datos '!E366,'Modelos de TES'!$K$3+'Modelos de TES'!$G$3,'Modelos de TES'!$K$3))/((1+'Modelos de TES'!$I$3)^('Base de datos '!G366/365))</f>
        <v>0.28641576130165458</v>
      </c>
      <c r="I366" s="36">
        <f>IF('Modelos de TES'!$J$3&gt;='Base de datos '!E366,'Base de datos '!H366,0)</f>
        <v>0</v>
      </c>
    </row>
    <row r="367" spans="5:9" x14ac:dyDescent="0.3">
      <c r="E367" s="13">
        <f t="shared" si="18"/>
        <v>365</v>
      </c>
      <c r="F367" s="14" t="e">
        <f t="shared" si="17"/>
        <v>#NUM!</v>
      </c>
      <c r="G367" s="33">
        <f t="shared" si="16"/>
        <v>133078</v>
      </c>
      <c r="H367" s="34">
        <f>(IF('Modelos de TES'!$J$3='Base de datos '!E367,'Modelos de TES'!$K$3+'Modelos de TES'!$G$3,'Modelos de TES'!$K$3))/((1+'Modelos de TES'!$I$3)^('Base de datos '!G367/365))</f>
        <v>0.27277691552538524</v>
      </c>
      <c r="I367" s="36">
        <f>IF('Modelos de TES'!$J$3&gt;='Base de datos '!E367,'Base de datos '!H367,0)</f>
        <v>0</v>
      </c>
    </row>
    <row r="368" spans="5:9" x14ac:dyDescent="0.3">
      <c r="E368" s="13">
        <f t="shared" si="18"/>
        <v>366</v>
      </c>
      <c r="F368" s="14" t="e">
        <f t="shared" si="17"/>
        <v>#NUM!</v>
      </c>
      <c r="G368" s="33">
        <f t="shared" si="16"/>
        <v>133443</v>
      </c>
      <c r="H368" s="34">
        <f>(IF('Modelos de TES'!$J$3='Base de datos '!E368,'Modelos de TES'!$K$3+'Modelos de TES'!$G$3,'Modelos de TES'!$K$3))/((1+'Modelos de TES'!$I$3)^('Base de datos '!G368/365))</f>
        <v>0.25978753859560499</v>
      </c>
      <c r="I368" s="36">
        <f>IF('Modelos de TES'!$J$3&gt;='Base de datos '!E368,'Base de datos '!H368,0)</f>
        <v>0</v>
      </c>
    </row>
    <row r="369" spans="5:9" x14ac:dyDescent="0.3">
      <c r="E369" s="13">
        <f t="shared" si="18"/>
        <v>367</v>
      </c>
      <c r="F369" s="14" t="e">
        <f t="shared" si="17"/>
        <v>#NUM!</v>
      </c>
      <c r="G369" s="33">
        <f t="shared" si="16"/>
        <v>133808</v>
      </c>
      <c r="H369" s="34">
        <f>(IF('Modelos de TES'!$J$3='Base de datos '!E369,'Modelos de TES'!$K$3+'Modelos de TES'!$G$3,'Modelos de TES'!$K$3))/((1+'Modelos de TES'!$I$3)^('Base de datos '!G369/365))</f>
        <v>0.24741670342438563</v>
      </c>
      <c r="I369" s="36">
        <f>IF('Modelos de TES'!$J$3&gt;='Base de datos '!E369,'Base de datos '!H369,0)</f>
        <v>0</v>
      </c>
    </row>
    <row r="370" spans="5:9" x14ac:dyDescent="0.3">
      <c r="E370" s="13">
        <f t="shared" si="18"/>
        <v>368</v>
      </c>
      <c r="F370" s="14" t="e">
        <f t="shared" si="17"/>
        <v>#NUM!</v>
      </c>
      <c r="G370" s="33">
        <f t="shared" si="16"/>
        <v>134173</v>
      </c>
      <c r="H370" s="34">
        <f>(IF('Modelos de TES'!$J$3='Base de datos '!E370,'Modelos de TES'!$K$3+'Modelos de TES'!$G$3,'Modelos de TES'!$K$3))/((1+'Modelos de TES'!$I$3)^('Base de datos '!G370/365))</f>
        <v>0.23563495564227199</v>
      </c>
      <c r="I370" s="36">
        <f>IF('Modelos de TES'!$J$3&gt;='Base de datos '!E370,'Base de datos '!H370,0)</f>
        <v>0</v>
      </c>
    </row>
    <row r="371" spans="5:9" x14ac:dyDescent="0.3">
      <c r="E371" s="13">
        <f t="shared" si="18"/>
        <v>369</v>
      </c>
      <c r="F371" s="14" t="e">
        <f t="shared" si="17"/>
        <v>#NUM!</v>
      </c>
      <c r="G371" s="33">
        <f t="shared" si="16"/>
        <v>134538</v>
      </c>
      <c r="H371" s="34">
        <f>(IF('Modelos de TES'!$J$3='Base de datos '!E371,'Modelos de TES'!$K$3+'Modelos de TES'!$G$3,'Modelos de TES'!$K$3))/((1+'Modelos de TES'!$I$3)^('Base de datos '!G371/365))</f>
        <v>0.22441424346883046</v>
      </c>
      <c r="I371" s="36">
        <f>IF('Modelos de TES'!$J$3&gt;='Base de datos '!E371,'Base de datos '!H371,0)</f>
        <v>0</v>
      </c>
    </row>
    <row r="372" spans="5:9" x14ac:dyDescent="0.3">
      <c r="E372" s="13">
        <f t="shared" si="18"/>
        <v>370</v>
      </c>
      <c r="F372" s="14" t="e">
        <f t="shared" si="17"/>
        <v>#NUM!</v>
      </c>
      <c r="G372" s="33">
        <f t="shared" si="16"/>
        <v>134903</v>
      </c>
      <c r="H372" s="34">
        <f>(IF('Modelos de TES'!$J$3='Base de datos '!E372,'Modelos de TES'!$K$3+'Modelos de TES'!$G$3,'Modelos de TES'!$K$3))/((1+'Modelos de TES'!$I$3)^('Base de datos '!G372/365))</f>
        <v>0.21372785092269561</v>
      </c>
      <c r="I372" s="36">
        <f>IF('Modelos de TES'!$J$3&gt;='Base de datos '!E372,'Base de datos '!H372,0)</f>
        <v>0</v>
      </c>
    </row>
    <row r="373" spans="5:9" x14ac:dyDescent="0.3">
      <c r="E373" s="13">
        <f t="shared" si="18"/>
        <v>371</v>
      </c>
      <c r="F373" s="14" t="e">
        <f t="shared" si="17"/>
        <v>#NUM!</v>
      </c>
      <c r="G373" s="33">
        <f t="shared" si="16"/>
        <v>135268</v>
      </c>
      <c r="H373" s="34">
        <f>(IF('Modelos de TES'!$J$3='Base de datos '!E373,'Modelos de TES'!$K$3+'Modelos de TES'!$G$3,'Modelos de TES'!$K$3))/((1+'Modelos de TES'!$I$3)^('Base de datos '!G373/365))</f>
        <v>0.20355033421209107</v>
      </c>
      <c r="I373" s="36">
        <f>IF('Modelos de TES'!$J$3&gt;='Base de datos '!E373,'Base de datos '!H373,0)</f>
        <v>0</v>
      </c>
    </row>
    <row r="374" spans="5:9" x14ac:dyDescent="0.3">
      <c r="E374" s="13">
        <f t="shared" si="18"/>
        <v>372</v>
      </c>
      <c r="F374" s="14" t="e">
        <f t="shared" si="17"/>
        <v>#NUM!</v>
      </c>
      <c r="G374" s="33">
        <f t="shared" si="16"/>
        <v>135633</v>
      </c>
      <c r="H374" s="34">
        <f>(IF('Modelos de TES'!$J$3='Base de datos '!E374,'Modelos de TES'!$K$3+'Modelos de TES'!$G$3,'Modelos de TES'!$K$3))/((1+'Modelos de TES'!$I$3)^('Base de datos '!G374/365))</f>
        <v>0.19385746115437238</v>
      </c>
      <c r="I374" s="36">
        <f>IF('Modelos de TES'!$J$3&gt;='Base de datos '!E374,'Base de datos '!H374,0)</f>
        <v>0</v>
      </c>
    </row>
    <row r="375" spans="5:9" x14ac:dyDescent="0.3">
      <c r="E375" s="13">
        <f t="shared" si="18"/>
        <v>373</v>
      </c>
      <c r="F375" s="14" t="e">
        <f t="shared" si="17"/>
        <v>#NUM!</v>
      </c>
      <c r="G375" s="33">
        <f t="shared" si="16"/>
        <v>135998</v>
      </c>
      <c r="H375" s="34">
        <f>(IF('Modelos de TES'!$J$3='Base de datos '!E375,'Modelos de TES'!$K$3+'Modelos de TES'!$G$3,'Modelos de TES'!$K$3))/((1+'Modelos de TES'!$I$3)^('Base de datos '!G375/365))</f>
        <v>0.1846261534803546</v>
      </c>
      <c r="I375" s="36">
        <f>IF('Modelos de TES'!$J$3&gt;='Base de datos '!E375,'Base de datos '!H375,0)</f>
        <v>0</v>
      </c>
    </row>
    <row r="376" spans="5:9" x14ac:dyDescent="0.3">
      <c r="E376" s="13">
        <f t="shared" si="18"/>
        <v>374</v>
      </c>
      <c r="F376" s="14" t="e">
        <f t="shared" si="17"/>
        <v>#NUM!</v>
      </c>
      <c r="G376" s="33">
        <f t="shared" si="16"/>
        <v>136363</v>
      </c>
      <c r="H376" s="34">
        <f>(IF('Modelos de TES'!$J$3='Base de datos '!E376,'Modelos de TES'!$K$3+'Modelos de TES'!$G$3,'Modelos de TES'!$K$3))/((1+'Modelos de TES'!$I$3)^('Base de datos '!G376/365))</f>
        <v>0.175834431886052</v>
      </c>
      <c r="I376" s="36">
        <f>IF('Modelos de TES'!$J$3&gt;='Base de datos '!E376,'Base de datos '!H376,0)</f>
        <v>0</v>
      </c>
    </row>
    <row r="377" spans="5:9" x14ac:dyDescent="0.3">
      <c r="E377" s="13">
        <f t="shared" si="18"/>
        <v>375</v>
      </c>
      <c r="F377" s="14" t="e">
        <f t="shared" si="17"/>
        <v>#NUM!</v>
      </c>
      <c r="G377" s="33">
        <f t="shared" si="16"/>
        <v>136728</v>
      </c>
      <c r="H377" s="34">
        <f>(IF('Modelos de TES'!$J$3='Base de datos '!E377,'Modelos de TES'!$K$3+'Modelos de TES'!$G$3,'Modelos de TES'!$K$3))/((1+'Modelos de TES'!$I$3)^('Base de datos '!G377/365))</f>
        <v>0.16746136370100187</v>
      </c>
      <c r="I377" s="36">
        <f>IF('Modelos de TES'!$J$3&gt;='Base de datos '!E377,'Base de datos '!H377,0)</f>
        <v>0</v>
      </c>
    </row>
    <row r="378" spans="5:9" x14ac:dyDescent="0.3">
      <c r="E378" s="13">
        <f t="shared" si="18"/>
        <v>376</v>
      </c>
      <c r="F378" s="14" t="e">
        <f t="shared" si="17"/>
        <v>#NUM!</v>
      </c>
      <c r="G378" s="33">
        <f t="shared" si="16"/>
        <v>137093</v>
      </c>
      <c r="H378" s="34">
        <f>(IF('Modelos de TES'!$J$3='Base de datos '!E378,'Modelos de TES'!$K$3+'Modelos de TES'!$G$3,'Modelos de TES'!$K$3))/((1+'Modelos de TES'!$I$3)^('Base de datos '!G378/365))</f>
        <v>0.15948701304857318</v>
      </c>
      <c r="I378" s="36">
        <f>IF('Modelos de TES'!$J$3&gt;='Base de datos '!E378,'Base de datos '!H378,0)</f>
        <v>0</v>
      </c>
    </row>
    <row r="379" spans="5:9" x14ac:dyDescent="0.3">
      <c r="E379" s="13">
        <f t="shared" si="18"/>
        <v>377</v>
      </c>
      <c r="F379" s="14" t="e">
        <f t="shared" si="17"/>
        <v>#NUM!</v>
      </c>
      <c r="G379" s="33">
        <f t="shared" si="16"/>
        <v>137458</v>
      </c>
      <c r="H379" s="34">
        <f>(IF('Modelos de TES'!$J$3='Base de datos '!E379,'Modelos de TES'!$K$3+'Modelos de TES'!$G$3,'Modelos de TES'!$K$3))/((1+'Modelos de TES'!$I$3)^('Base de datos '!G379/365))</f>
        <v>0.15189239337959348</v>
      </c>
      <c r="I379" s="36">
        <f>IF('Modelos de TES'!$J$3&gt;='Base de datos '!E379,'Base de datos '!H379,0)</f>
        <v>0</v>
      </c>
    </row>
    <row r="380" spans="5:9" x14ac:dyDescent="0.3">
      <c r="E380" s="13">
        <f t="shared" si="18"/>
        <v>378</v>
      </c>
      <c r="F380" s="14" t="e">
        <f t="shared" si="17"/>
        <v>#NUM!</v>
      </c>
      <c r="G380" s="33">
        <f t="shared" si="16"/>
        <v>137823</v>
      </c>
      <c r="H380" s="34">
        <f>(IF('Modelos de TES'!$J$3='Base de datos '!E380,'Modelos de TES'!$K$3+'Modelos de TES'!$G$3,'Modelos de TES'!$K$3))/((1+'Modelos de TES'!$I$3)^('Base de datos '!G380/365))</f>
        <v>0.14465942226627951</v>
      </c>
      <c r="I380" s="36">
        <f>IF('Modelos de TES'!$J$3&gt;='Base de datos '!E380,'Base de datos '!H380,0)</f>
        <v>0</v>
      </c>
    </row>
    <row r="381" spans="5:9" x14ac:dyDescent="0.3">
      <c r="E381" s="13">
        <f t="shared" si="18"/>
        <v>379</v>
      </c>
      <c r="F381" s="14" t="e">
        <f t="shared" si="17"/>
        <v>#NUM!</v>
      </c>
      <c r="G381" s="33">
        <f t="shared" si="16"/>
        <v>138188</v>
      </c>
      <c r="H381" s="34">
        <f>(IF('Modelos de TES'!$J$3='Base de datos '!E381,'Modelos de TES'!$K$3+'Modelos de TES'!$G$3,'Modelos de TES'!$K$3))/((1+'Modelos de TES'!$I$3)^('Base de datos '!G381/365))</f>
        <v>0.13777087834883758</v>
      </c>
      <c r="I381" s="36">
        <f>IF('Modelos de TES'!$J$3&gt;='Base de datos '!E381,'Base de datos '!H381,0)</f>
        <v>0</v>
      </c>
    </row>
    <row r="382" spans="5:9" x14ac:dyDescent="0.3">
      <c r="E382" s="13">
        <f t="shared" si="18"/>
        <v>380</v>
      </c>
      <c r="F382" s="14" t="e">
        <f t="shared" si="17"/>
        <v>#NUM!</v>
      </c>
      <c r="G382" s="33">
        <f t="shared" si="16"/>
        <v>138553</v>
      </c>
      <c r="H382" s="34">
        <f>(IF('Modelos de TES'!$J$3='Base de datos '!E382,'Modelos de TES'!$K$3+'Modelos de TES'!$G$3,'Modelos de TES'!$K$3))/((1+'Modelos de TES'!$I$3)^('Base de datos '!G382/365))</f>
        <v>0.13121036033222627</v>
      </c>
      <c r="I382" s="36">
        <f>IF('Modelos de TES'!$J$3&gt;='Base de datos '!E382,'Base de datos '!H382,0)</f>
        <v>0</v>
      </c>
    </row>
    <row r="383" spans="5:9" x14ac:dyDescent="0.3">
      <c r="E383" s="13">
        <f t="shared" si="18"/>
        <v>381</v>
      </c>
      <c r="F383" s="14" t="e">
        <f t="shared" si="17"/>
        <v>#NUM!</v>
      </c>
      <c r="G383" s="33">
        <f t="shared" si="16"/>
        <v>138918</v>
      </c>
      <c r="H383" s="34">
        <f>(IF('Modelos de TES'!$J$3='Base de datos '!E383,'Modelos de TES'!$K$3+'Modelos de TES'!$G$3,'Modelos de TES'!$K$3))/((1+'Modelos de TES'!$I$3)^('Base de datos '!G383/365))</f>
        <v>0.12496224793545356</v>
      </c>
      <c r="I383" s="36">
        <f>IF('Modelos de TES'!$J$3&gt;='Base de datos '!E383,'Base de datos '!H383,0)</f>
        <v>0</v>
      </c>
    </row>
  </sheetData>
  <mergeCells count="3">
    <mergeCell ref="E1:F1"/>
    <mergeCell ref="H1:H2"/>
    <mergeCell ref="I1:I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Modelos de TES</vt:lpstr>
      <vt:lpstr>Base de datos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Paez</dc:creator>
  <cp:lastModifiedBy>Alejandra Paez</cp:lastModifiedBy>
  <dcterms:created xsi:type="dcterms:W3CDTF">2021-03-30T00:43:03Z</dcterms:created>
  <dcterms:modified xsi:type="dcterms:W3CDTF">2021-04-08T00:05:37Z</dcterms:modified>
</cp:coreProperties>
</file>