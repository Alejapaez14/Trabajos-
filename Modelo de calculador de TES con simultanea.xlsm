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901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aleji\OneDrive\Documentos\"/>
    </mc:Choice>
  </mc:AlternateContent>
  <xr:revisionPtr revIDLastSave="0" documentId="13_ncr:1_{A3508AB7-5A43-4DC3-A8DA-173FB852C4FC}" xr6:coauthVersionLast="46" xr6:coauthVersionMax="46" xr10:uidLastSave="{00000000-0000-0000-0000-000000000000}"/>
  <bookViews>
    <workbookView xWindow="6696" yWindow="2124" windowWidth="7500" windowHeight="11496" xr2:uid="{8CA5BE72-5E8E-412F-A04E-46BC06E55A1B}"/>
  </bookViews>
  <sheets>
    <sheet name="Modelos de TES" sheetId="1" r:id="rId1"/>
    <sheet name="Base de datos " sheetId="2" r:id="rId2"/>
    <sheet name="Base de datos simultanea" sheetId="4" r:id="rId3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G7" i="1" l="1"/>
  <c r="D4" i="4" l="1"/>
  <c r="A2" i="4" l="1"/>
  <c r="B2" i="4" s="1"/>
  <c r="B5" i="4"/>
  <c r="A4" i="4"/>
  <c r="A3" i="4"/>
  <c r="B3" i="4" s="1"/>
  <c r="D2" i="4" l="1"/>
  <c r="B4" i="4"/>
  <c r="J1" i="4" l="1"/>
  <c r="C2" i="2"/>
  <c r="D2" i="2" l="1"/>
  <c r="N3" i="1" s="1"/>
  <c r="B13" i="2"/>
  <c r="K3" i="1"/>
  <c r="A2" i="2"/>
  <c r="C3" i="2" s="1"/>
  <c r="J3" i="1"/>
  <c r="D5" i="4" l="1"/>
  <c r="D3" i="2"/>
  <c r="D4" i="2" s="1"/>
  <c r="D5" i="2" s="1"/>
  <c r="C4" i="2"/>
  <c r="C5" i="2" s="1"/>
  <c r="C6" i="2" s="1"/>
  <c r="C7" i="2" s="1"/>
  <c r="C8" i="2" s="1"/>
  <c r="C9" i="2" s="1"/>
  <c r="C10" i="2" s="1"/>
  <c r="C11" i="2" s="1"/>
  <c r="C12" i="2" s="1"/>
  <c r="C13" i="2" s="1"/>
  <c r="C14" i="2" s="1"/>
  <c r="C15" i="2" s="1"/>
  <c r="C16" i="2" s="1"/>
  <c r="C17" i="2" s="1"/>
  <c r="C18" i="2" s="1"/>
  <c r="C19" i="2" s="1"/>
  <c r="C20" i="2" s="1"/>
  <c r="C21" i="2" s="1"/>
  <c r="C22" i="2" s="1"/>
  <c r="D3" i="4"/>
  <c r="F3" i="4" s="1"/>
  <c r="B14" i="2"/>
  <c r="E3" i="2" l="1"/>
  <c r="F3" i="2" s="1"/>
  <c r="E4" i="2"/>
  <c r="F4" i="2" s="1"/>
  <c r="D6" i="2"/>
  <c r="B15" i="2"/>
  <c r="E5" i="2"/>
  <c r="F5" i="2" s="1"/>
  <c r="C23" i="2"/>
  <c r="D7" i="2" l="1"/>
  <c r="B16" i="2"/>
  <c r="E6" i="2"/>
  <c r="F6" i="2" s="1"/>
  <c r="C24" i="2"/>
  <c r="D8" i="2" l="1"/>
  <c r="B17" i="2"/>
  <c r="F16" i="2"/>
  <c r="E7" i="2"/>
  <c r="F7" i="2" s="1"/>
  <c r="C25" i="2"/>
  <c r="D9" i="2" l="1"/>
  <c r="B18" i="2"/>
  <c r="F17" i="2"/>
  <c r="E8" i="2"/>
  <c r="F8" i="2" s="1"/>
  <c r="C26" i="2"/>
  <c r="D10" i="2" l="1"/>
  <c r="B19" i="2"/>
  <c r="F18" i="2"/>
  <c r="E9" i="2"/>
  <c r="F9" i="2" s="1"/>
  <c r="C27" i="2"/>
  <c r="E10" i="2" l="1"/>
  <c r="F10" i="2" s="1"/>
  <c r="B20" i="2"/>
  <c r="F19" i="2"/>
  <c r="D11" i="2"/>
  <c r="C28" i="2"/>
  <c r="D12" i="2" l="1"/>
  <c r="E11" i="2"/>
  <c r="F11" i="2" s="1"/>
  <c r="B21" i="2"/>
  <c r="F20" i="2"/>
  <c r="C29" i="2"/>
  <c r="B22" i="2" l="1"/>
  <c r="F21" i="2"/>
  <c r="D13" i="2"/>
  <c r="E12" i="2"/>
  <c r="F12" i="2" s="1"/>
  <c r="C30" i="2"/>
  <c r="D14" i="2" l="1"/>
  <c r="E13" i="2"/>
  <c r="F13" i="2" s="1"/>
  <c r="B23" i="2"/>
  <c r="F22" i="2"/>
  <c r="C31" i="2"/>
  <c r="B24" i="2" l="1"/>
  <c r="F23" i="2"/>
  <c r="D15" i="2"/>
  <c r="E14" i="2"/>
  <c r="F14" i="2" s="1"/>
  <c r="C32" i="2"/>
  <c r="D16" i="2" l="1"/>
  <c r="E15" i="2"/>
  <c r="F15" i="2" s="1"/>
  <c r="B25" i="2"/>
  <c r="F24" i="2"/>
  <c r="C33" i="2"/>
  <c r="B26" i="2" l="1"/>
  <c r="F25" i="2"/>
  <c r="D17" i="2"/>
  <c r="E16" i="2"/>
  <c r="C34" i="2"/>
  <c r="D18" i="2" l="1"/>
  <c r="E17" i="2"/>
  <c r="B27" i="2"/>
  <c r="F26" i="2"/>
  <c r="C35" i="2"/>
  <c r="B28" i="2" l="1"/>
  <c r="F27" i="2"/>
  <c r="D19" i="2"/>
  <c r="E18" i="2"/>
  <c r="C36" i="2"/>
  <c r="D20" i="2" l="1"/>
  <c r="E19" i="2"/>
  <c r="B29" i="2"/>
  <c r="F28" i="2"/>
  <c r="C37" i="2"/>
  <c r="B30" i="2" l="1"/>
  <c r="F29" i="2"/>
  <c r="D21" i="2"/>
  <c r="E20" i="2"/>
  <c r="C38" i="2"/>
  <c r="D22" i="2" l="1"/>
  <c r="E21" i="2"/>
  <c r="B31" i="2"/>
  <c r="F30" i="2"/>
  <c r="C39" i="2"/>
  <c r="B32" i="2" l="1"/>
  <c r="F31" i="2"/>
  <c r="D23" i="2"/>
  <c r="E22" i="2"/>
  <c r="C40" i="2"/>
  <c r="D24" i="2" l="1"/>
  <c r="E23" i="2"/>
  <c r="B33" i="2"/>
  <c r="F32" i="2"/>
  <c r="C41" i="2"/>
  <c r="B34" i="2" l="1"/>
  <c r="F33" i="2"/>
  <c r="D25" i="2"/>
  <c r="E24" i="2"/>
  <c r="C42" i="2"/>
  <c r="D26" i="2" l="1"/>
  <c r="E25" i="2"/>
  <c r="B35" i="2"/>
  <c r="F34" i="2"/>
  <c r="C43" i="2"/>
  <c r="B36" i="2" l="1"/>
  <c r="F35" i="2"/>
  <c r="D27" i="2"/>
  <c r="E26" i="2"/>
  <c r="C44" i="2"/>
  <c r="D28" i="2" l="1"/>
  <c r="E27" i="2"/>
  <c r="B37" i="2"/>
  <c r="F36" i="2"/>
  <c r="C45" i="2"/>
  <c r="B38" i="2" l="1"/>
  <c r="F37" i="2"/>
  <c r="D29" i="2"/>
  <c r="E28" i="2"/>
  <c r="C46" i="2"/>
  <c r="D30" i="2" l="1"/>
  <c r="E29" i="2"/>
  <c r="B39" i="2"/>
  <c r="F38" i="2"/>
  <c r="C47" i="2"/>
  <c r="B40" i="2" l="1"/>
  <c r="F39" i="2"/>
  <c r="D31" i="2"/>
  <c r="E30" i="2"/>
  <c r="C48" i="2"/>
  <c r="D32" i="2" l="1"/>
  <c r="E31" i="2"/>
  <c r="B41" i="2"/>
  <c r="F40" i="2"/>
  <c r="C49" i="2"/>
  <c r="B42" i="2" l="1"/>
  <c r="F41" i="2"/>
  <c r="D33" i="2"/>
  <c r="E32" i="2"/>
  <c r="C50" i="2"/>
  <c r="D34" i="2" l="1"/>
  <c r="E33" i="2"/>
  <c r="B43" i="2"/>
  <c r="F42" i="2"/>
  <c r="C51" i="2"/>
  <c r="B44" i="2" l="1"/>
  <c r="F43" i="2"/>
  <c r="D35" i="2"/>
  <c r="E34" i="2"/>
  <c r="C52" i="2"/>
  <c r="D36" i="2" l="1"/>
  <c r="E35" i="2"/>
  <c r="B45" i="2"/>
  <c r="F44" i="2"/>
  <c r="C53" i="2"/>
  <c r="D37" i="2" l="1"/>
  <c r="E36" i="2"/>
  <c r="B46" i="2"/>
  <c r="F45" i="2"/>
  <c r="C54" i="2"/>
  <c r="B47" i="2" l="1"/>
  <c r="F46" i="2"/>
  <c r="D38" i="2"/>
  <c r="E37" i="2"/>
  <c r="C55" i="2"/>
  <c r="B48" i="2" l="1"/>
  <c r="F47" i="2"/>
  <c r="D39" i="2"/>
  <c r="E38" i="2"/>
  <c r="C56" i="2"/>
  <c r="D40" i="2" l="1"/>
  <c r="E39" i="2"/>
  <c r="B49" i="2"/>
  <c r="F48" i="2"/>
  <c r="C57" i="2"/>
  <c r="D41" i="2" l="1"/>
  <c r="E40" i="2"/>
  <c r="B50" i="2"/>
  <c r="F49" i="2"/>
  <c r="C58" i="2"/>
  <c r="B51" i="2" l="1"/>
  <c r="F50" i="2"/>
  <c r="D42" i="2"/>
  <c r="E41" i="2"/>
  <c r="C59" i="2"/>
  <c r="D43" i="2" l="1"/>
  <c r="E42" i="2"/>
  <c r="B52" i="2"/>
  <c r="F51" i="2"/>
  <c r="C60" i="2"/>
  <c r="B53" i="2" l="1"/>
  <c r="F52" i="2"/>
  <c r="D44" i="2"/>
  <c r="E43" i="2"/>
  <c r="C61" i="2"/>
  <c r="D45" i="2" l="1"/>
  <c r="E44" i="2"/>
  <c r="B54" i="2"/>
  <c r="F53" i="2"/>
  <c r="C62" i="2"/>
  <c r="B55" i="2" l="1"/>
  <c r="F54" i="2"/>
  <c r="D46" i="2"/>
  <c r="E45" i="2"/>
  <c r="C63" i="2"/>
  <c r="D47" i="2" l="1"/>
  <c r="E46" i="2"/>
  <c r="B56" i="2"/>
  <c r="F55" i="2"/>
  <c r="C64" i="2"/>
  <c r="B57" i="2" l="1"/>
  <c r="F56" i="2"/>
  <c r="D48" i="2"/>
  <c r="E47" i="2"/>
  <c r="C65" i="2"/>
  <c r="D49" i="2" l="1"/>
  <c r="E48" i="2"/>
  <c r="B58" i="2"/>
  <c r="F57" i="2"/>
  <c r="C66" i="2"/>
  <c r="B59" i="2" l="1"/>
  <c r="F58" i="2"/>
  <c r="D50" i="2"/>
  <c r="E49" i="2"/>
  <c r="C67" i="2"/>
  <c r="D51" i="2" l="1"/>
  <c r="E50" i="2"/>
  <c r="B60" i="2"/>
  <c r="F59" i="2"/>
  <c r="C68" i="2"/>
  <c r="D52" i="2" l="1"/>
  <c r="E51" i="2"/>
  <c r="B61" i="2"/>
  <c r="F60" i="2"/>
  <c r="C69" i="2"/>
  <c r="B62" i="2" l="1"/>
  <c r="F61" i="2"/>
  <c r="D53" i="2"/>
  <c r="E52" i="2"/>
  <c r="C70" i="2"/>
  <c r="D54" i="2" l="1"/>
  <c r="E53" i="2"/>
  <c r="B63" i="2"/>
  <c r="F62" i="2"/>
  <c r="C71" i="2"/>
  <c r="B64" i="2" l="1"/>
  <c r="F63" i="2"/>
  <c r="D55" i="2"/>
  <c r="E54" i="2"/>
  <c r="C72" i="2"/>
  <c r="B65" i="2" l="1"/>
  <c r="F64" i="2"/>
  <c r="D56" i="2"/>
  <c r="E55" i="2"/>
  <c r="C73" i="2"/>
  <c r="D57" i="2" l="1"/>
  <c r="E56" i="2"/>
  <c r="B66" i="2"/>
  <c r="F65" i="2"/>
  <c r="C74" i="2"/>
  <c r="B67" i="2" l="1"/>
  <c r="F66" i="2"/>
  <c r="D58" i="2"/>
  <c r="E57" i="2"/>
  <c r="C75" i="2"/>
  <c r="B68" i="2" l="1"/>
  <c r="F67" i="2"/>
  <c r="D59" i="2"/>
  <c r="E58" i="2"/>
  <c r="C76" i="2"/>
  <c r="D60" i="2" l="1"/>
  <c r="E59" i="2"/>
  <c r="B69" i="2"/>
  <c r="F68" i="2"/>
  <c r="C77" i="2"/>
  <c r="B70" i="2" l="1"/>
  <c r="F69" i="2"/>
  <c r="D61" i="2"/>
  <c r="E60" i="2"/>
  <c r="C78" i="2"/>
  <c r="D62" i="2" l="1"/>
  <c r="E61" i="2"/>
  <c r="B71" i="2"/>
  <c r="F70" i="2"/>
  <c r="C79" i="2"/>
  <c r="B72" i="2" l="1"/>
  <c r="F71" i="2"/>
  <c r="D63" i="2"/>
  <c r="E62" i="2"/>
  <c r="C80" i="2"/>
  <c r="D64" i="2" l="1"/>
  <c r="E63" i="2"/>
  <c r="B73" i="2"/>
  <c r="F72" i="2"/>
  <c r="C81" i="2"/>
  <c r="B74" i="2" l="1"/>
  <c r="F73" i="2"/>
  <c r="D65" i="2"/>
  <c r="E64" i="2"/>
  <c r="C82" i="2"/>
  <c r="D66" i="2" l="1"/>
  <c r="E65" i="2"/>
  <c r="B75" i="2"/>
  <c r="F74" i="2"/>
  <c r="C83" i="2"/>
  <c r="B76" i="2" l="1"/>
  <c r="F75" i="2"/>
  <c r="D67" i="2"/>
  <c r="E66" i="2"/>
  <c r="C84" i="2"/>
  <c r="D68" i="2" l="1"/>
  <c r="E67" i="2"/>
  <c r="B77" i="2"/>
  <c r="F76" i="2"/>
  <c r="C85" i="2"/>
  <c r="D69" i="2" l="1"/>
  <c r="E68" i="2"/>
  <c r="B78" i="2"/>
  <c r="F77" i="2"/>
  <c r="C86" i="2"/>
  <c r="B79" i="2" l="1"/>
  <c r="F78" i="2"/>
  <c r="D70" i="2"/>
  <c r="E69" i="2"/>
  <c r="C87" i="2"/>
  <c r="D71" i="2" l="1"/>
  <c r="E70" i="2"/>
  <c r="B80" i="2"/>
  <c r="F79" i="2"/>
  <c r="C88" i="2"/>
  <c r="B81" i="2" l="1"/>
  <c r="F80" i="2"/>
  <c r="D72" i="2"/>
  <c r="E71" i="2"/>
  <c r="C89" i="2"/>
  <c r="D73" i="2" l="1"/>
  <c r="E72" i="2"/>
  <c r="B82" i="2"/>
  <c r="F81" i="2"/>
  <c r="C90" i="2"/>
  <c r="B83" i="2" l="1"/>
  <c r="F82" i="2"/>
  <c r="D74" i="2"/>
  <c r="E73" i="2"/>
  <c r="C91" i="2"/>
  <c r="D75" i="2" l="1"/>
  <c r="E74" i="2"/>
  <c r="B84" i="2"/>
  <c r="F83" i="2"/>
  <c r="C92" i="2"/>
  <c r="D76" i="2" l="1"/>
  <c r="E75" i="2"/>
  <c r="B85" i="2"/>
  <c r="F84" i="2"/>
  <c r="C93" i="2"/>
  <c r="B86" i="2" l="1"/>
  <c r="F85" i="2"/>
  <c r="D77" i="2"/>
  <c r="E76" i="2"/>
  <c r="C94" i="2"/>
  <c r="D78" i="2" l="1"/>
  <c r="E77" i="2"/>
  <c r="B87" i="2"/>
  <c r="F86" i="2"/>
  <c r="C95" i="2"/>
  <c r="B88" i="2" l="1"/>
  <c r="F87" i="2"/>
  <c r="D79" i="2"/>
  <c r="E78" i="2"/>
  <c r="C96" i="2"/>
  <c r="D80" i="2" l="1"/>
  <c r="E79" i="2"/>
  <c r="B89" i="2"/>
  <c r="F88" i="2"/>
  <c r="C97" i="2"/>
  <c r="B90" i="2" l="1"/>
  <c r="F89" i="2"/>
  <c r="D81" i="2"/>
  <c r="E80" i="2"/>
  <c r="C98" i="2"/>
  <c r="D82" i="2" l="1"/>
  <c r="E81" i="2"/>
  <c r="B91" i="2"/>
  <c r="F90" i="2"/>
  <c r="C99" i="2"/>
  <c r="B92" i="2" l="1"/>
  <c r="F91" i="2"/>
  <c r="D83" i="2"/>
  <c r="E82" i="2"/>
  <c r="C100" i="2"/>
  <c r="D84" i="2" l="1"/>
  <c r="E83" i="2"/>
  <c r="B93" i="2"/>
  <c r="F92" i="2"/>
  <c r="C101" i="2"/>
  <c r="D85" i="2" l="1"/>
  <c r="E84" i="2"/>
  <c r="B94" i="2"/>
  <c r="F93" i="2"/>
  <c r="C102" i="2"/>
  <c r="B95" i="2" l="1"/>
  <c r="F94" i="2"/>
  <c r="D86" i="2"/>
  <c r="E85" i="2"/>
  <c r="C103" i="2"/>
  <c r="D87" i="2" l="1"/>
  <c r="E86" i="2"/>
  <c r="B96" i="2"/>
  <c r="F95" i="2"/>
  <c r="C104" i="2"/>
  <c r="B97" i="2" l="1"/>
  <c r="F96" i="2"/>
  <c r="D88" i="2"/>
  <c r="E87" i="2"/>
  <c r="C105" i="2"/>
  <c r="D89" i="2" l="1"/>
  <c r="E88" i="2"/>
  <c r="B98" i="2"/>
  <c r="F97" i="2"/>
  <c r="C106" i="2"/>
  <c r="B99" i="2" l="1"/>
  <c r="F98" i="2"/>
  <c r="D90" i="2"/>
  <c r="E89" i="2"/>
  <c r="C107" i="2"/>
  <c r="D91" i="2" l="1"/>
  <c r="E90" i="2"/>
  <c r="B100" i="2"/>
  <c r="F99" i="2"/>
  <c r="C108" i="2"/>
  <c r="B101" i="2" l="1"/>
  <c r="F100" i="2"/>
  <c r="D92" i="2"/>
  <c r="E91" i="2"/>
  <c r="C109" i="2"/>
  <c r="D93" i="2" l="1"/>
  <c r="E92" i="2"/>
  <c r="B102" i="2"/>
  <c r="F101" i="2"/>
  <c r="C110" i="2"/>
  <c r="B103" i="2" l="1"/>
  <c r="F102" i="2"/>
  <c r="D94" i="2"/>
  <c r="E93" i="2"/>
  <c r="C111" i="2"/>
  <c r="B104" i="2" l="1"/>
  <c r="F103" i="2"/>
  <c r="D95" i="2"/>
  <c r="E94" i="2"/>
  <c r="C112" i="2"/>
  <c r="D96" i="2" l="1"/>
  <c r="E95" i="2"/>
  <c r="B105" i="2"/>
  <c r="F104" i="2"/>
  <c r="C113" i="2"/>
  <c r="B106" i="2" l="1"/>
  <c r="F105" i="2"/>
  <c r="D97" i="2"/>
  <c r="E96" i="2"/>
  <c r="C114" i="2"/>
  <c r="D98" i="2" l="1"/>
  <c r="E97" i="2"/>
  <c r="B107" i="2"/>
  <c r="F106" i="2"/>
  <c r="C115" i="2"/>
  <c r="B108" i="2" l="1"/>
  <c r="F107" i="2"/>
  <c r="D99" i="2"/>
  <c r="E98" i="2"/>
  <c r="C116" i="2"/>
  <c r="D100" i="2" l="1"/>
  <c r="E99" i="2"/>
  <c r="B109" i="2"/>
  <c r="F108" i="2"/>
  <c r="C117" i="2"/>
  <c r="B110" i="2" l="1"/>
  <c r="F109" i="2"/>
  <c r="D101" i="2"/>
  <c r="E100" i="2"/>
  <c r="C118" i="2"/>
  <c r="D102" i="2" l="1"/>
  <c r="E101" i="2"/>
  <c r="B111" i="2"/>
  <c r="F110" i="2"/>
  <c r="C119" i="2"/>
  <c r="B112" i="2" l="1"/>
  <c r="F111" i="2"/>
  <c r="D103" i="2"/>
  <c r="E102" i="2"/>
  <c r="C120" i="2"/>
  <c r="D104" i="2" l="1"/>
  <c r="E103" i="2"/>
  <c r="B113" i="2"/>
  <c r="F112" i="2"/>
  <c r="C121" i="2"/>
  <c r="B114" i="2" l="1"/>
  <c r="F113" i="2"/>
  <c r="D105" i="2"/>
  <c r="E104" i="2"/>
  <c r="C122" i="2"/>
  <c r="D106" i="2" l="1"/>
  <c r="E105" i="2"/>
  <c r="B115" i="2"/>
  <c r="F114" i="2"/>
  <c r="C123" i="2"/>
  <c r="B116" i="2" l="1"/>
  <c r="F115" i="2"/>
  <c r="D107" i="2"/>
  <c r="E106" i="2"/>
  <c r="C124" i="2"/>
  <c r="D108" i="2" l="1"/>
  <c r="E107" i="2"/>
  <c r="B117" i="2"/>
  <c r="F116" i="2"/>
  <c r="C125" i="2"/>
  <c r="B118" i="2" l="1"/>
  <c r="F117" i="2"/>
  <c r="D109" i="2"/>
  <c r="E108" i="2"/>
  <c r="C126" i="2"/>
  <c r="D110" i="2" l="1"/>
  <c r="E109" i="2"/>
  <c r="B119" i="2"/>
  <c r="F118" i="2"/>
  <c r="C127" i="2"/>
  <c r="B120" i="2" l="1"/>
  <c r="F119" i="2"/>
  <c r="D111" i="2"/>
  <c r="E110" i="2"/>
  <c r="C128" i="2"/>
  <c r="D112" i="2" l="1"/>
  <c r="E111" i="2"/>
  <c r="B121" i="2"/>
  <c r="F120" i="2"/>
  <c r="C129" i="2"/>
  <c r="D113" i="2" l="1"/>
  <c r="E112" i="2"/>
  <c r="B122" i="2"/>
  <c r="F121" i="2"/>
  <c r="C130" i="2"/>
  <c r="B123" i="2" l="1"/>
  <c r="F122" i="2"/>
  <c r="D114" i="2"/>
  <c r="E113" i="2"/>
  <c r="C131" i="2"/>
  <c r="D115" i="2" l="1"/>
  <c r="E114" i="2"/>
  <c r="B124" i="2"/>
  <c r="F123" i="2"/>
  <c r="C132" i="2"/>
  <c r="B125" i="2" l="1"/>
  <c r="F124" i="2"/>
  <c r="D116" i="2"/>
  <c r="E115" i="2"/>
  <c r="C133" i="2"/>
  <c r="D117" i="2" l="1"/>
  <c r="E116" i="2"/>
  <c r="B126" i="2"/>
  <c r="F125" i="2"/>
  <c r="C134" i="2"/>
  <c r="B127" i="2" l="1"/>
  <c r="F126" i="2"/>
  <c r="D118" i="2"/>
  <c r="E117" i="2"/>
  <c r="C135" i="2"/>
  <c r="D119" i="2" l="1"/>
  <c r="E118" i="2"/>
  <c r="B128" i="2"/>
  <c r="F127" i="2"/>
  <c r="C136" i="2"/>
  <c r="B129" i="2" l="1"/>
  <c r="F128" i="2"/>
  <c r="D120" i="2"/>
  <c r="E119" i="2"/>
  <c r="C137" i="2"/>
  <c r="D121" i="2" l="1"/>
  <c r="E120" i="2"/>
  <c r="B130" i="2"/>
  <c r="F129" i="2"/>
  <c r="C138" i="2"/>
  <c r="B131" i="2" l="1"/>
  <c r="F130" i="2"/>
  <c r="D122" i="2"/>
  <c r="E121" i="2"/>
  <c r="C139" i="2"/>
  <c r="D123" i="2" l="1"/>
  <c r="E122" i="2"/>
  <c r="B132" i="2"/>
  <c r="F131" i="2"/>
  <c r="C140" i="2"/>
  <c r="D124" i="2" l="1"/>
  <c r="E123" i="2"/>
  <c r="B133" i="2"/>
  <c r="F132" i="2"/>
  <c r="C141" i="2"/>
  <c r="B134" i="2" l="1"/>
  <c r="F133" i="2"/>
  <c r="D125" i="2"/>
  <c r="E124" i="2"/>
  <c r="C142" i="2"/>
  <c r="D126" i="2" l="1"/>
  <c r="E125" i="2"/>
  <c r="B135" i="2"/>
  <c r="F134" i="2"/>
  <c r="C143" i="2"/>
  <c r="B136" i="2" l="1"/>
  <c r="F135" i="2"/>
  <c r="D127" i="2"/>
  <c r="E126" i="2"/>
  <c r="C144" i="2"/>
  <c r="D128" i="2" l="1"/>
  <c r="E127" i="2"/>
  <c r="B137" i="2"/>
  <c r="F136" i="2"/>
  <c r="C145" i="2"/>
  <c r="B138" i="2" l="1"/>
  <c r="F137" i="2"/>
  <c r="D129" i="2"/>
  <c r="E128" i="2"/>
  <c r="C146" i="2"/>
  <c r="D130" i="2" l="1"/>
  <c r="E129" i="2"/>
  <c r="B139" i="2"/>
  <c r="F138" i="2"/>
  <c r="C147" i="2"/>
  <c r="B140" i="2" l="1"/>
  <c r="F139" i="2"/>
  <c r="D131" i="2"/>
  <c r="E130" i="2"/>
  <c r="C148" i="2"/>
  <c r="D132" i="2" l="1"/>
  <c r="E131" i="2"/>
  <c r="B141" i="2"/>
  <c r="F140" i="2"/>
  <c r="C149" i="2"/>
  <c r="B142" i="2" l="1"/>
  <c r="F141" i="2"/>
  <c r="D133" i="2"/>
  <c r="E132" i="2"/>
  <c r="C150" i="2"/>
  <c r="D134" i="2" l="1"/>
  <c r="E133" i="2"/>
  <c r="B143" i="2"/>
  <c r="F142" i="2"/>
  <c r="C151" i="2"/>
  <c r="B144" i="2" l="1"/>
  <c r="F143" i="2"/>
  <c r="D135" i="2"/>
  <c r="E134" i="2"/>
  <c r="C152" i="2"/>
  <c r="D136" i="2" l="1"/>
  <c r="E135" i="2"/>
  <c r="B145" i="2"/>
  <c r="F144" i="2"/>
  <c r="C153" i="2"/>
  <c r="D137" i="2" l="1"/>
  <c r="E136" i="2"/>
  <c r="B146" i="2"/>
  <c r="F145" i="2"/>
  <c r="C154" i="2"/>
  <c r="B147" i="2" l="1"/>
  <c r="F146" i="2"/>
  <c r="D138" i="2"/>
  <c r="E137" i="2"/>
  <c r="C155" i="2"/>
  <c r="D139" i="2" l="1"/>
  <c r="E138" i="2"/>
  <c r="B148" i="2"/>
  <c r="F147" i="2"/>
  <c r="C156" i="2"/>
  <c r="B149" i="2" l="1"/>
  <c r="F148" i="2"/>
  <c r="D140" i="2"/>
  <c r="E139" i="2"/>
  <c r="C157" i="2"/>
  <c r="D141" i="2" l="1"/>
  <c r="E140" i="2"/>
  <c r="B150" i="2"/>
  <c r="F149" i="2"/>
  <c r="C158" i="2"/>
  <c r="B151" i="2" l="1"/>
  <c r="F150" i="2"/>
  <c r="D142" i="2"/>
  <c r="E141" i="2"/>
  <c r="C159" i="2"/>
  <c r="D143" i="2" l="1"/>
  <c r="E142" i="2"/>
  <c r="B152" i="2"/>
  <c r="F151" i="2"/>
  <c r="C160" i="2"/>
  <c r="D144" i="2" l="1"/>
  <c r="E143" i="2"/>
  <c r="B153" i="2"/>
  <c r="F152" i="2"/>
  <c r="C161" i="2"/>
  <c r="B154" i="2" l="1"/>
  <c r="F153" i="2"/>
  <c r="D145" i="2"/>
  <c r="E144" i="2"/>
  <c r="C162" i="2"/>
  <c r="D146" i="2" l="1"/>
  <c r="E145" i="2"/>
  <c r="B155" i="2"/>
  <c r="F154" i="2"/>
  <c r="C163" i="2"/>
  <c r="B156" i="2" l="1"/>
  <c r="F155" i="2"/>
  <c r="D147" i="2"/>
  <c r="E146" i="2"/>
  <c r="C164" i="2"/>
  <c r="D148" i="2" l="1"/>
  <c r="E147" i="2"/>
  <c r="B157" i="2"/>
  <c r="F156" i="2"/>
  <c r="C165" i="2"/>
  <c r="B158" i="2" l="1"/>
  <c r="F157" i="2"/>
  <c r="D149" i="2"/>
  <c r="E148" i="2"/>
  <c r="C166" i="2"/>
  <c r="D150" i="2" l="1"/>
  <c r="E149" i="2"/>
  <c r="B159" i="2"/>
  <c r="F158" i="2"/>
  <c r="C167" i="2"/>
  <c r="B160" i="2" l="1"/>
  <c r="F159" i="2"/>
  <c r="D151" i="2"/>
  <c r="E150" i="2"/>
  <c r="C168" i="2"/>
  <c r="D152" i="2" l="1"/>
  <c r="E151" i="2"/>
  <c r="B161" i="2"/>
  <c r="F160" i="2"/>
  <c r="C169" i="2"/>
  <c r="B162" i="2" l="1"/>
  <c r="F161" i="2"/>
  <c r="D153" i="2"/>
  <c r="E152" i="2"/>
  <c r="C170" i="2"/>
  <c r="D154" i="2" l="1"/>
  <c r="E153" i="2"/>
  <c r="B163" i="2"/>
  <c r="F162" i="2"/>
  <c r="C171" i="2"/>
  <c r="B164" i="2" l="1"/>
  <c r="F163" i="2"/>
  <c r="D155" i="2"/>
  <c r="E154" i="2"/>
  <c r="C172" i="2"/>
  <c r="D156" i="2" l="1"/>
  <c r="E155" i="2"/>
  <c r="B165" i="2"/>
  <c r="F164" i="2"/>
  <c r="C173" i="2"/>
  <c r="B166" i="2" l="1"/>
  <c r="F165" i="2"/>
  <c r="D157" i="2"/>
  <c r="E156" i="2"/>
  <c r="C174" i="2"/>
  <c r="D158" i="2" l="1"/>
  <c r="E157" i="2"/>
  <c r="B167" i="2"/>
  <c r="F166" i="2"/>
  <c r="C175" i="2"/>
  <c r="B168" i="2" l="1"/>
  <c r="F167" i="2"/>
  <c r="D159" i="2"/>
  <c r="E158" i="2"/>
  <c r="C176" i="2"/>
  <c r="D160" i="2" l="1"/>
  <c r="E159" i="2"/>
  <c r="B169" i="2"/>
  <c r="F168" i="2"/>
  <c r="C177" i="2"/>
  <c r="B170" i="2" l="1"/>
  <c r="F169" i="2"/>
  <c r="D161" i="2"/>
  <c r="E160" i="2"/>
  <c r="C178" i="2"/>
  <c r="D162" i="2" l="1"/>
  <c r="E161" i="2"/>
  <c r="B171" i="2"/>
  <c r="F170" i="2"/>
  <c r="C179" i="2"/>
  <c r="B172" i="2" l="1"/>
  <c r="F171" i="2"/>
  <c r="D163" i="2"/>
  <c r="E162" i="2"/>
  <c r="C180" i="2"/>
  <c r="D164" i="2" l="1"/>
  <c r="E163" i="2"/>
  <c r="B173" i="2"/>
  <c r="F172" i="2"/>
  <c r="C181" i="2"/>
  <c r="B174" i="2" l="1"/>
  <c r="F173" i="2"/>
  <c r="D165" i="2"/>
  <c r="E164" i="2"/>
  <c r="C182" i="2"/>
  <c r="D166" i="2" l="1"/>
  <c r="E165" i="2"/>
  <c r="B175" i="2"/>
  <c r="F174" i="2"/>
  <c r="C183" i="2"/>
  <c r="B176" i="2" l="1"/>
  <c r="F175" i="2"/>
  <c r="D167" i="2"/>
  <c r="E166" i="2"/>
  <c r="C184" i="2"/>
  <c r="D168" i="2" l="1"/>
  <c r="E167" i="2"/>
  <c r="B177" i="2"/>
  <c r="F176" i="2"/>
  <c r="C185" i="2"/>
  <c r="B178" i="2" l="1"/>
  <c r="F177" i="2"/>
  <c r="D169" i="2"/>
  <c r="E168" i="2"/>
  <c r="C186" i="2"/>
  <c r="D170" i="2" l="1"/>
  <c r="E169" i="2"/>
  <c r="B179" i="2"/>
  <c r="F178" i="2"/>
  <c r="C187" i="2"/>
  <c r="B180" i="2" l="1"/>
  <c r="F179" i="2"/>
  <c r="D171" i="2"/>
  <c r="E170" i="2"/>
  <c r="C188" i="2"/>
  <c r="D172" i="2" l="1"/>
  <c r="E171" i="2"/>
  <c r="B181" i="2"/>
  <c r="F180" i="2"/>
  <c r="C189" i="2"/>
  <c r="B182" i="2" l="1"/>
  <c r="F181" i="2"/>
  <c r="D173" i="2"/>
  <c r="E172" i="2"/>
  <c r="C190" i="2"/>
  <c r="D174" i="2" l="1"/>
  <c r="E173" i="2"/>
  <c r="B183" i="2"/>
  <c r="F182" i="2"/>
  <c r="C191" i="2"/>
  <c r="B184" i="2" l="1"/>
  <c r="F183" i="2"/>
  <c r="D175" i="2"/>
  <c r="E174" i="2"/>
  <c r="C192" i="2"/>
  <c r="D176" i="2" l="1"/>
  <c r="E175" i="2"/>
  <c r="B185" i="2"/>
  <c r="F184" i="2"/>
  <c r="C193" i="2"/>
  <c r="B186" i="2" l="1"/>
  <c r="F185" i="2"/>
  <c r="D177" i="2"/>
  <c r="E176" i="2"/>
  <c r="C194" i="2"/>
  <c r="D178" i="2" l="1"/>
  <c r="E177" i="2"/>
  <c r="B187" i="2"/>
  <c r="F186" i="2"/>
  <c r="C195" i="2"/>
  <c r="B188" i="2" l="1"/>
  <c r="F187" i="2"/>
  <c r="D179" i="2"/>
  <c r="E178" i="2"/>
  <c r="C196" i="2"/>
  <c r="D180" i="2" l="1"/>
  <c r="E179" i="2"/>
  <c r="B189" i="2"/>
  <c r="F188" i="2"/>
  <c r="C197" i="2"/>
  <c r="B190" i="2" l="1"/>
  <c r="F189" i="2"/>
  <c r="D181" i="2"/>
  <c r="E180" i="2"/>
  <c r="C198" i="2"/>
  <c r="D182" i="2" l="1"/>
  <c r="E181" i="2"/>
  <c r="B191" i="2"/>
  <c r="F190" i="2"/>
  <c r="C199" i="2"/>
  <c r="B192" i="2" l="1"/>
  <c r="F191" i="2"/>
  <c r="D183" i="2"/>
  <c r="E182" i="2"/>
  <c r="C200" i="2"/>
  <c r="D184" i="2" l="1"/>
  <c r="E183" i="2"/>
  <c r="B193" i="2"/>
  <c r="F192" i="2"/>
  <c r="C201" i="2"/>
  <c r="B194" i="2" l="1"/>
  <c r="F193" i="2"/>
  <c r="D185" i="2"/>
  <c r="E184" i="2"/>
  <c r="C202" i="2"/>
  <c r="D186" i="2" l="1"/>
  <c r="E185" i="2"/>
  <c r="B195" i="2"/>
  <c r="F194" i="2"/>
  <c r="C203" i="2"/>
  <c r="B196" i="2" l="1"/>
  <c r="F195" i="2"/>
  <c r="D187" i="2"/>
  <c r="E186" i="2"/>
  <c r="C204" i="2"/>
  <c r="D188" i="2" l="1"/>
  <c r="E187" i="2"/>
  <c r="B197" i="2"/>
  <c r="F196" i="2"/>
  <c r="C205" i="2"/>
  <c r="B198" i="2" l="1"/>
  <c r="F197" i="2"/>
  <c r="D189" i="2"/>
  <c r="E188" i="2"/>
  <c r="C206" i="2"/>
  <c r="D190" i="2" l="1"/>
  <c r="E189" i="2"/>
  <c r="B199" i="2"/>
  <c r="F198" i="2"/>
  <c r="C207" i="2"/>
  <c r="B200" i="2" l="1"/>
  <c r="F199" i="2"/>
  <c r="D191" i="2"/>
  <c r="E190" i="2"/>
  <c r="C208" i="2"/>
  <c r="D192" i="2" l="1"/>
  <c r="E191" i="2"/>
  <c r="B201" i="2"/>
  <c r="F200" i="2"/>
  <c r="C209" i="2"/>
  <c r="B202" i="2" l="1"/>
  <c r="F201" i="2"/>
  <c r="D193" i="2"/>
  <c r="E192" i="2"/>
  <c r="C210" i="2"/>
  <c r="D194" i="2" l="1"/>
  <c r="E193" i="2"/>
  <c r="B203" i="2"/>
  <c r="F202" i="2"/>
  <c r="C211" i="2"/>
  <c r="B204" i="2" l="1"/>
  <c r="F203" i="2"/>
  <c r="D195" i="2"/>
  <c r="E194" i="2"/>
  <c r="C212" i="2"/>
  <c r="D196" i="2" l="1"/>
  <c r="E195" i="2"/>
  <c r="B205" i="2"/>
  <c r="F204" i="2"/>
  <c r="C213" i="2"/>
  <c r="B206" i="2" l="1"/>
  <c r="F205" i="2"/>
  <c r="D197" i="2"/>
  <c r="E196" i="2"/>
  <c r="C214" i="2"/>
  <c r="D198" i="2" l="1"/>
  <c r="E197" i="2"/>
  <c r="B207" i="2"/>
  <c r="F206" i="2"/>
  <c r="C215" i="2"/>
  <c r="B208" i="2" l="1"/>
  <c r="F207" i="2"/>
  <c r="D199" i="2"/>
  <c r="E198" i="2"/>
  <c r="C216" i="2"/>
  <c r="D200" i="2" l="1"/>
  <c r="E199" i="2"/>
  <c r="B209" i="2"/>
  <c r="F208" i="2"/>
  <c r="C217" i="2"/>
  <c r="B210" i="2" l="1"/>
  <c r="F209" i="2"/>
  <c r="D201" i="2"/>
  <c r="E200" i="2"/>
  <c r="C218" i="2"/>
  <c r="D202" i="2" l="1"/>
  <c r="E201" i="2"/>
  <c r="B211" i="2"/>
  <c r="F210" i="2"/>
  <c r="C219" i="2"/>
  <c r="B212" i="2" l="1"/>
  <c r="F211" i="2"/>
  <c r="D203" i="2"/>
  <c r="E202" i="2"/>
  <c r="C220" i="2"/>
  <c r="D204" i="2" l="1"/>
  <c r="E203" i="2"/>
  <c r="B213" i="2"/>
  <c r="F212" i="2"/>
  <c r="C221" i="2"/>
  <c r="B214" i="2" l="1"/>
  <c r="F213" i="2"/>
  <c r="D205" i="2"/>
  <c r="E204" i="2"/>
  <c r="C222" i="2"/>
  <c r="D206" i="2" l="1"/>
  <c r="E205" i="2"/>
  <c r="B215" i="2"/>
  <c r="F214" i="2"/>
  <c r="C223" i="2"/>
  <c r="B216" i="2" l="1"/>
  <c r="F215" i="2"/>
  <c r="D207" i="2"/>
  <c r="E206" i="2"/>
  <c r="C224" i="2"/>
  <c r="D208" i="2" l="1"/>
  <c r="E207" i="2"/>
  <c r="B217" i="2"/>
  <c r="F216" i="2"/>
  <c r="C225" i="2"/>
  <c r="B218" i="2" l="1"/>
  <c r="F217" i="2"/>
  <c r="D209" i="2"/>
  <c r="E208" i="2"/>
  <c r="C226" i="2"/>
  <c r="D210" i="2" l="1"/>
  <c r="E209" i="2"/>
  <c r="B219" i="2"/>
  <c r="F218" i="2"/>
  <c r="C227" i="2"/>
  <c r="B220" i="2" l="1"/>
  <c r="F219" i="2"/>
  <c r="D211" i="2"/>
  <c r="E210" i="2"/>
  <c r="C228" i="2"/>
  <c r="D212" i="2" l="1"/>
  <c r="E211" i="2"/>
  <c r="B221" i="2"/>
  <c r="F220" i="2"/>
  <c r="C229" i="2"/>
  <c r="B222" i="2" l="1"/>
  <c r="F221" i="2"/>
  <c r="D213" i="2"/>
  <c r="E212" i="2"/>
  <c r="C230" i="2"/>
  <c r="D214" i="2" l="1"/>
  <c r="E213" i="2"/>
  <c r="B223" i="2"/>
  <c r="F222" i="2"/>
  <c r="C231" i="2"/>
  <c r="B224" i="2" l="1"/>
  <c r="F223" i="2"/>
  <c r="D215" i="2"/>
  <c r="E214" i="2"/>
  <c r="C232" i="2"/>
  <c r="D216" i="2" l="1"/>
  <c r="E215" i="2"/>
  <c r="B225" i="2"/>
  <c r="F224" i="2"/>
  <c r="C233" i="2"/>
  <c r="B226" i="2" l="1"/>
  <c r="F225" i="2"/>
  <c r="D217" i="2"/>
  <c r="E216" i="2"/>
  <c r="C234" i="2"/>
  <c r="D218" i="2" l="1"/>
  <c r="E217" i="2"/>
  <c r="B227" i="2"/>
  <c r="F226" i="2"/>
  <c r="C235" i="2"/>
  <c r="B228" i="2" l="1"/>
  <c r="F227" i="2"/>
  <c r="D219" i="2"/>
  <c r="E218" i="2"/>
  <c r="C236" i="2"/>
  <c r="D220" i="2" l="1"/>
  <c r="E219" i="2"/>
  <c r="B229" i="2"/>
  <c r="F228" i="2"/>
  <c r="C237" i="2"/>
  <c r="B230" i="2" l="1"/>
  <c r="F229" i="2"/>
  <c r="D221" i="2"/>
  <c r="E220" i="2"/>
  <c r="C238" i="2"/>
  <c r="D222" i="2" l="1"/>
  <c r="E221" i="2"/>
  <c r="B231" i="2"/>
  <c r="F230" i="2"/>
  <c r="C239" i="2"/>
  <c r="B232" i="2" l="1"/>
  <c r="F231" i="2"/>
  <c r="D223" i="2"/>
  <c r="E222" i="2"/>
  <c r="C240" i="2"/>
  <c r="D224" i="2" l="1"/>
  <c r="E223" i="2"/>
  <c r="B233" i="2"/>
  <c r="F232" i="2"/>
  <c r="C241" i="2"/>
  <c r="B234" i="2" l="1"/>
  <c r="F233" i="2"/>
  <c r="D225" i="2"/>
  <c r="E224" i="2"/>
  <c r="C242" i="2"/>
  <c r="D226" i="2" l="1"/>
  <c r="E225" i="2"/>
  <c r="B235" i="2"/>
  <c r="F234" i="2"/>
  <c r="C243" i="2"/>
  <c r="B236" i="2" l="1"/>
  <c r="F235" i="2"/>
  <c r="D227" i="2"/>
  <c r="E226" i="2"/>
  <c r="C244" i="2"/>
  <c r="D228" i="2" l="1"/>
  <c r="E227" i="2"/>
  <c r="B237" i="2"/>
  <c r="F236" i="2"/>
  <c r="C245" i="2"/>
  <c r="B238" i="2" l="1"/>
  <c r="F237" i="2"/>
  <c r="D229" i="2"/>
  <c r="E228" i="2"/>
  <c r="C246" i="2"/>
  <c r="D230" i="2" l="1"/>
  <c r="E229" i="2"/>
  <c r="B239" i="2"/>
  <c r="F238" i="2"/>
  <c r="C247" i="2"/>
  <c r="B240" i="2" l="1"/>
  <c r="F239" i="2"/>
  <c r="D231" i="2"/>
  <c r="E230" i="2"/>
  <c r="C248" i="2"/>
  <c r="D232" i="2" l="1"/>
  <c r="E231" i="2"/>
  <c r="B241" i="2"/>
  <c r="F240" i="2"/>
  <c r="C249" i="2"/>
  <c r="B242" i="2" l="1"/>
  <c r="F241" i="2"/>
  <c r="D233" i="2"/>
  <c r="E232" i="2"/>
  <c r="C250" i="2"/>
  <c r="D234" i="2" l="1"/>
  <c r="E233" i="2"/>
  <c r="B243" i="2"/>
  <c r="F242" i="2"/>
  <c r="C251" i="2"/>
  <c r="B244" i="2" l="1"/>
  <c r="F243" i="2"/>
  <c r="D235" i="2"/>
  <c r="E234" i="2"/>
  <c r="C252" i="2"/>
  <c r="D236" i="2" l="1"/>
  <c r="E235" i="2"/>
  <c r="B245" i="2"/>
  <c r="F244" i="2"/>
  <c r="C253" i="2"/>
  <c r="B246" i="2" l="1"/>
  <c r="F245" i="2"/>
  <c r="D237" i="2"/>
  <c r="E236" i="2"/>
  <c r="C254" i="2"/>
  <c r="D238" i="2" l="1"/>
  <c r="E237" i="2"/>
  <c r="B247" i="2"/>
  <c r="F246" i="2"/>
  <c r="C255" i="2"/>
  <c r="B248" i="2" l="1"/>
  <c r="F247" i="2"/>
  <c r="D239" i="2"/>
  <c r="E238" i="2"/>
  <c r="C256" i="2"/>
  <c r="D240" i="2" l="1"/>
  <c r="E239" i="2"/>
  <c r="B249" i="2"/>
  <c r="F248" i="2"/>
  <c r="C257" i="2"/>
  <c r="B250" i="2" l="1"/>
  <c r="F249" i="2"/>
  <c r="D241" i="2"/>
  <c r="E240" i="2"/>
  <c r="C258" i="2"/>
  <c r="D242" i="2" l="1"/>
  <c r="E241" i="2"/>
  <c r="B251" i="2"/>
  <c r="F250" i="2"/>
  <c r="C259" i="2"/>
  <c r="B252" i="2" l="1"/>
  <c r="F251" i="2"/>
  <c r="D243" i="2"/>
  <c r="E242" i="2"/>
  <c r="C260" i="2"/>
  <c r="D244" i="2" l="1"/>
  <c r="E243" i="2"/>
  <c r="B253" i="2"/>
  <c r="F252" i="2"/>
  <c r="C261" i="2"/>
  <c r="B254" i="2" l="1"/>
  <c r="F253" i="2"/>
  <c r="D245" i="2"/>
  <c r="E244" i="2"/>
  <c r="C262" i="2"/>
  <c r="D246" i="2" l="1"/>
  <c r="E245" i="2"/>
  <c r="B255" i="2"/>
  <c r="F254" i="2"/>
  <c r="C263" i="2"/>
  <c r="B256" i="2" l="1"/>
  <c r="F255" i="2"/>
  <c r="D247" i="2"/>
  <c r="E246" i="2"/>
  <c r="C264" i="2"/>
  <c r="D248" i="2" l="1"/>
  <c r="E247" i="2"/>
  <c r="B257" i="2"/>
  <c r="F256" i="2"/>
  <c r="C265" i="2"/>
  <c r="B258" i="2" l="1"/>
  <c r="F257" i="2"/>
  <c r="D249" i="2"/>
  <c r="E248" i="2"/>
  <c r="C266" i="2"/>
  <c r="D250" i="2" l="1"/>
  <c r="E249" i="2"/>
  <c r="B259" i="2"/>
  <c r="F258" i="2"/>
  <c r="C267" i="2"/>
  <c r="B260" i="2" l="1"/>
  <c r="F259" i="2"/>
  <c r="D251" i="2"/>
  <c r="E250" i="2"/>
  <c r="C268" i="2"/>
  <c r="D252" i="2" l="1"/>
  <c r="E251" i="2"/>
  <c r="B261" i="2"/>
  <c r="F260" i="2"/>
  <c r="C269" i="2"/>
  <c r="B262" i="2" l="1"/>
  <c r="F261" i="2"/>
  <c r="D253" i="2"/>
  <c r="E252" i="2"/>
  <c r="C270" i="2"/>
  <c r="D254" i="2" l="1"/>
  <c r="E253" i="2"/>
  <c r="B263" i="2"/>
  <c r="F262" i="2"/>
  <c r="C271" i="2"/>
  <c r="B264" i="2" l="1"/>
  <c r="F263" i="2"/>
  <c r="D255" i="2"/>
  <c r="E254" i="2"/>
  <c r="C272" i="2"/>
  <c r="D256" i="2" l="1"/>
  <c r="E255" i="2"/>
  <c r="B265" i="2"/>
  <c r="F264" i="2"/>
  <c r="C273" i="2"/>
  <c r="B266" i="2" l="1"/>
  <c r="F265" i="2"/>
  <c r="D257" i="2"/>
  <c r="E256" i="2"/>
  <c r="C274" i="2"/>
  <c r="D258" i="2" l="1"/>
  <c r="E257" i="2"/>
  <c r="B267" i="2"/>
  <c r="F266" i="2"/>
  <c r="C275" i="2"/>
  <c r="B268" i="2" l="1"/>
  <c r="F267" i="2"/>
  <c r="D259" i="2"/>
  <c r="E258" i="2"/>
  <c r="C276" i="2"/>
  <c r="D260" i="2" l="1"/>
  <c r="E259" i="2"/>
  <c r="B269" i="2"/>
  <c r="F268" i="2"/>
  <c r="C277" i="2"/>
  <c r="B270" i="2" l="1"/>
  <c r="F269" i="2"/>
  <c r="D261" i="2"/>
  <c r="E260" i="2"/>
  <c r="C278" i="2"/>
  <c r="D262" i="2" l="1"/>
  <c r="E261" i="2"/>
  <c r="B271" i="2"/>
  <c r="F270" i="2"/>
  <c r="C279" i="2"/>
  <c r="B272" i="2" l="1"/>
  <c r="F271" i="2"/>
  <c r="D263" i="2"/>
  <c r="E262" i="2"/>
  <c r="C280" i="2"/>
  <c r="D264" i="2" l="1"/>
  <c r="E263" i="2"/>
  <c r="B273" i="2"/>
  <c r="F272" i="2"/>
  <c r="C281" i="2"/>
  <c r="B274" i="2" l="1"/>
  <c r="F273" i="2"/>
  <c r="D265" i="2"/>
  <c r="E264" i="2"/>
  <c r="C282" i="2"/>
  <c r="D266" i="2" l="1"/>
  <c r="E265" i="2"/>
  <c r="B275" i="2"/>
  <c r="F274" i="2"/>
  <c r="C283" i="2"/>
  <c r="B276" i="2" l="1"/>
  <c r="F275" i="2"/>
  <c r="D267" i="2"/>
  <c r="E266" i="2"/>
  <c r="C284" i="2"/>
  <c r="B277" i="2" l="1"/>
  <c r="F276" i="2"/>
  <c r="D268" i="2"/>
  <c r="E267" i="2"/>
  <c r="C285" i="2"/>
  <c r="D269" i="2" l="1"/>
  <c r="E268" i="2"/>
  <c r="B278" i="2"/>
  <c r="F277" i="2"/>
  <c r="C286" i="2"/>
  <c r="B279" i="2" l="1"/>
  <c r="F278" i="2"/>
  <c r="D270" i="2"/>
  <c r="E269" i="2"/>
  <c r="C287" i="2"/>
  <c r="D271" i="2" l="1"/>
  <c r="E270" i="2"/>
  <c r="B280" i="2"/>
  <c r="F279" i="2"/>
  <c r="C288" i="2"/>
  <c r="B281" i="2" l="1"/>
  <c r="F280" i="2"/>
  <c r="D272" i="2"/>
  <c r="E271" i="2"/>
  <c r="C289" i="2"/>
  <c r="D273" i="2" l="1"/>
  <c r="E272" i="2"/>
  <c r="B282" i="2"/>
  <c r="F281" i="2"/>
  <c r="C290" i="2"/>
  <c r="B283" i="2" l="1"/>
  <c r="F282" i="2"/>
  <c r="D274" i="2"/>
  <c r="E273" i="2"/>
  <c r="C291" i="2"/>
  <c r="D275" i="2" l="1"/>
  <c r="E274" i="2"/>
  <c r="B284" i="2"/>
  <c r="F283" i="2"/>
  <c r="C292" i="2"/>
  <c r="B285" i="2" l="1"/>
  <c r="F284" i="2"/>
  <c r="D276" i="2"/>
  <c r="E275" i="2"/>
  <c r="C293" i="2"/>
  <c r="D277" i="2" l="1"/>
  <c r="E276" i="2"/>
  <c r="B286" i="2"/>
  <c r="F285" i="2"/>
  <c r="C294" i="2"/>
  <c r="B287" i="2" l="1"/>
  <c r="F286" i="2"/>
  <c r="D278" i="2"/>
  <c r="E277" i="2"/>
  <c r="C295" i="2"/>
  <c r="D279" i="2" l="1"/>
  <c r="E278" i="2"/>
  <c r="B288" i="2"/>
  <c r="F287" i="2"/>
  <c r="C296" i="2"/>
  <c r="B289" i="2" l="1"/>
  <c r="F288" i="2"/>
  <c r="D280" i="2"/>
  <c r="E279" i="2"/>
  <c r="C297" i="2"/>
  <c r="D281" i="2" l="1"/>
  <c r="E280" i="2"/>
  <c r="B290" i="2"/>
  <c r="F289" i="2"/>
  <c r="C298" i="2"/>
  <c r="B291" i="2" l="1"/>
  <c r="F290" i="2"/>
  <c r="D282" i="2"/>
  <c r="E281" i="2"/>
  <c r="C299" i="2"/>
  <c r="D283" i="2" l="1"/>
  <c r="E282" i="2"/>
  <c r="B292" i="2"/>
  <c r="F291" i="2"/>
  <c r="C300" i="2"/>
  <c r="B293" i="2" l="1"/>
  <c r="F292" i="2"/>
  <c r="D284" i="2"/>
  <c r="E283" i="2"/>
  <c r="C301" i="2"/>
  <c r="D285" i="2" l="1"/>
  <c r="E284" i="2"/>
  <c r="B294" i="2"/>
  <c r="F293" i="2"/>
  <c r="C302" i="2"/>
  <c r="B295" i="2" l="1"/>
  <c r="F294" i="2"/>
  <c r="D286" i="2"/>
  <c r="E285" i="2"/>
  <c r="C303" i="2"/>
  <c r="D287" i="2" l="1"/>
  <c r="E286" i="2"/>
  <c r="B296" i="2"/>
  <c r="F295" i="2"/>
  <c r="C304" i="2"/>
  <c r="B297" i="2" l="1"/>
  <c r="F296" i="2"/>
  <c r="D288" i="2"/>
  <c r="E287" i="2"/>
  <c r="C305" i="2"/>
  <c r="D289" i="2" l="1"/>
  <c r="E288" i="2"/>
  <c r="B298" i="2"/>
  <c r="F297" i="2"/>
  <c r="C306" i="2"/>
  <c r="B299" i="2" l="1"/>
  <c r="F298" i="2"/>
  <c r="D290" i="2"/>
  <c r="E289" i="2"/>
  <c r="C307" i="2"/>
  <c r="D291" i="2" l="1"/>
  <c r="E290" i="2"/>
  <c r="B300" i="2"/>
  <c r="F299" i="2"/>
  <c r="C308" i="2"/>
  <c r="B301" i="2" l="1"/>
  <c r="F300" i="2"/>
  <c r="D292" i="2"/>
  <c r="E291" i="2"/>
  <c r="C309" i="2"/>
  <c r="D293" i="2" l="1"/>
  <c r="E292" i="2"/>
  <c r="B302" i="2"/>
  <c r="F301" i="2"/>
  <c r="C310" i="2"/>
  <c r="B303" i="2" l="1"/>
  <c r="F302" i="2"/>
  <c r="D294" i="2"/>
  <c r="E293" i="2"/>
  <c r="C311" i="2"/>
  <c r="D295" i="2" l="1"/>
  <c r="E294" i="2"/>
  <c r="B304" i="2"/>
  <c r="F303" i="2"/>
  <c r="C312" i="2"/>
  <c r="B305" i="2" l="1"/>
  <c r="F304" i="2"/>
  <c r="D296" i="2"/>
  <c r="E295" i="2"/>
  <c r="C313" i="2"/>
  <c r="D297" i="2" l="1"/>
  <c r="E296" i="2"/>
  <c r="B306" i="2"/>
  <c r="F305" i="2"/>
  <c r="C314" i="2"/>
  <c r="B307" i="2" l="1"/>
  <c r="F306" i="2"/>
  <c r="D298" i="2"/>
  <c r="E297" i="2"/>
  <c r="C315" i="2"/>
  <c r="D299" i="2" l="1"/>
  <c r="E298" i="2"/>
  <c r="B308" i="2"/>
  <c r="F307" i="2"/>
  <c r="C316" i="2"/>
  <c r="B309" i="2" l="1"/>
  <c r="F308" i="2"/>
  <c r="D300" i="2"/>
  <c r="E299" i="2"/>
  <c r="C317" i="2"/>
  <c r="D301" i="2" l="1"/>
  <c r="E300" i="2"/>
  <c r="B310" i="2"/>
  <c r="F309" i="2"/>
  <c r="C318" i="2"/>
  <c r="B311" i="2" l="1"/>
  <c r="F310" i="2"/>
  <c r="D302" i="2"/>
  <c r="E301" i="2"/>
  <c r="C319" i="2"/>
  <c r="D303" i="2" l="1"/>
  <c r="E302" i="2"/>
  <c r="B312" i="2"/>
  <c r="F311" i="2"/>
  <c r="C320" i="2"/>
  <c r="B313" i="2" l="1"/>
  <c r="F312" i="2"/>
  <c r="D304" i="2"/>
  <c r="E303" i="2"/>
  <c r="C321" i="2"/>
  <c r="D305" i="2" l="1"/>
  <c r="E304" i="2"/>
  <c r="B314" i="2"/>
  <c r="F313" i="2"/>
  <c r="C322" i="2"/>
  <c r="B315" i="2" l="1"/>
  <c r="F314" i="2"/>
  <c r="D306" i="2"/>
  <c r="E305" i="2"/>
  <c r="C323" i="2"/>
  <c r="D307" i="2" l="1"/>
  <c r="E306" i="2"/>
  <c r="B316" i="2"/>
  <c r="F315" i="2"/>
  <c r="C324" i="2"/>
  <c r="B317" i="2" l="1"/>
  <c r="F316" i="2"/>
  <c r="D308" i="2"/>
  <c r="E307" i="2"/>
  <c r="C325" i="2"/>
  <c r="D309" i="2" l="1"/>
  <c r="E308" i="2"/>
  <c r="B318" i="2"/>
  <c r="F317" i="2"/>
  <c r="C326" i="2"/>
  <c r="B319" i="2" l="1"/>
  <c r="F318" i="2"/>
  <c r="D310" i="2"/>
  <c r="E309" i="2"/>
  <c r="C327" i="2"/>
  <c r="D311" i="2" l="1"/>
  <c r="E310" i="2"/>
  <c r="B320" i="2"/>
  <c r="F319" i="2"/>
  <c r="C328" i="2"/>
  <c r="B321" i="2" l="1"/>
  <c r="F320" i="2"/>
  <c r="D312" i="2"/>
  <c r="E311" i="2"/>
  <c r="C329" i="2"/>
  <c r="D313" i="2" l="1"/>
  <c r="E312" i="2"/>
  <c r="B322" i="2"/>
  <c r="F321" i="2"/>
  <c r="C330" i="2"/>
  <c r="B323" i="2" l="1"/>
  <c r="F322" i="2"/>
  <c r="D314" i="2"/>
  <c r="E313" i="2"/>
  <c r="C331" i="2"/>
  <c r="D315" i="2" l="1"/>
  <c r="E314" i="2"/>
  <c r="B324" i="2"/>
  <c r="F323" i="2"/>
  <c r="C332" i="2"/>
  <c r="B325" i="2" l="1"/>
  <c r="F324" i="2"/>
  <c r="D316" i="2"/>
  <c r="E315" i="2"/>
  <c r="C333" i="2"/>
  <c r="D317" i="2" l="1"/>
  <c r="E316" i="2"/>
  <c r="B326" i="2"/>
  <c r="F325" i="2"/>
  <c r="C334" i="2"/>
  <c r="B327" i="2" l="1"/>
  <c r="F326" i="2"/>
  <c r="D318" i="2"/>
  <c r="E317" i="2"/>
  <c r="C335" i="2"/>
  <c r="D319" i="2" l="1"/>
  <c r="E318" i="2"/>
  <c r="B328" i="2"/>
  <c r="F327" i="2"/>
  <c r="C336" i="2"/>
  <c r="B329" i="2" l="1"/>
  <c r="F328" i="2"/>
  <c r="D320" i="2"/>
  <c r="E319" i="2"/>
  <c r="C337" i="2"/>
  <c r="D321" i="2" l="1"/>
  <c r="E320" i="2"/>
  <c r="B330" i="2"/>
  <c r="F329" i="2"/>
  <c r="C338" i="2"/>
  <c r="B331" i="2" l="1"/>
  <c r="F330" i="2"/>
  <c r="D322" i="2"/>
  <c r="E321" i="2"/>
  <c r="C339" i="2"/>
  <c r="D323" i="2" l="1"/>
  <c r="E322" i="2"/>
  <c r="B332" i="2"/>
  <c r="F331" i="2"/>
  <c r="C340" i="2"/>
  <c r="B333" i="2" l="1"/>
  <c r="F332" i="2"/>
  <c r="D324" i="2"/>
  <c r="E323" i="2"/>
  <c r="C341" i="2"/>
  <c r="D325" i="2" l="1"/>
  <c r="E324" i="2"/>
  <c r="B334" i="2"/>
  <c r="F333" i="2"/>
  <c r="C342" i="2"/>
  <c r="B335" i="2" l="1"/>
  <c r="F334" i="2"/>
  <c r="D326" i="2"/>
  <c r="E325" i="2"/>
  <c r="C343" i="2"/>
  <c r="D327" i="2" l="1"/>
  <c r="E326" i="2"/>
  <c r="B336" i="2"/>
  <c r="F335" i="2"/>
  <c r="C344" i="2"/>
  <c r="B337" i="2" l="1"/>
  <c r="F336" i="2"/>
  <c r="D328" i="2"/>
  <c r="E327" i="2"/>
  <c r="C345" i="2"/>
  <c r="D329" i="2" l="1"/>
  <c r="E328" i="2"/>
  <c r="B338" i="2"/>
  <c r="F337" i="2"/>
  <c r="C346" i="2"/>
  <c r="B339" i="2" l="1"/>
  <c r="F338" i="2"/>
  <c r="D330" i="2"/>
  <c r="E329" i="2"/>
  <c r="C347" i="2"/>
  <c r="D331" i="2" l="1"/>
  <c r="E330" i="2"/>
  <c r="B340" i="2"/>
  <c r="F339" i="2"/>
  <c r="C348" i="2"/>
  <c r="B341" i="2" l="1"/>
  <c r="F340" i="2"/>
  <c r="D332" i="2"/>
  <c r="E331" i="2"/>
  <c r="C349" i="2"/>
  <c r="D333" i="2" l="1"/>
  <c r="E332" i="2"/>
  <c r="B342" i="2"/>
  <c r="F341" i="2"/>
  <c r="C350" i="2"/>
  <c r="B343" i="2" l="1"/>
  <c r="F342" i="2"/>
  <c r="D334" i="2"/>
  <c r="E333" i="2"/>
  <c r="C351" i="2"/>
  <c r="D335" i="2" l="1"/>
  <c r="E334" i="2"/>
  <c r="B344" i="2"/>
  <c r="F343" i="2"/>
  <c r="C352" i="2"/>
  <c r="B345" i="2" l="1"/>
  <c r="F344" i="2"/>
  <c r="D336" i="2"/>
  <c r="E335" i="2"/>
  <c r="C353" i="2"/>
  <c r="D337" i="2" l="1"/>
  <c r="E336" i="2"/>
  <c r="B346" i="2"/>
  <c r="F345" i="2"/>
  <c r="C354" i="2"/>
  <c r="B347" i="2" l="1"/>
  <c r="F346" i="2"/>
  <c r="D338" i="2"/>
  <c r="E337" i="2"/>
  <c r="C355" i="2"/>
  <c r="D339" i="2" l="1"/>
  <c r="E338" i="2"/>
  <c r="B348" i="2"/>
  <c r="F347" i="2"/>
  <c r="C356" i="2"/>
  <c r="B349" i="2" l="1"/>
  <c r="F348" i="2"/>
  <c r="D340" i="2"/>
  <c r="E339" i="2"/>
  <c r="C357" i="2"/>
  <c r="D341" i="2" l="1"/>
  <c r="E340" i="2"/>
  <c r="B350" i="2"/>
  <c r="F349" i="2"/>
  <c r="C358" i="2"/>
  <c r="B351" i="2" l="1"/>
  <c r="F350" i="2"/>
  <c r="D342" i="2"/>
  <c r="E341" i="2"/>
  <c r="C359" i="2"/>
  <c r="D343" i="2" l="1"/>
  <c r="E342" i="2"/>
  <c r="B352" i="2"/>
  <c r="F351" i="2"/>
  <c r="C360" i="2"/>
  <c r="B353" i="2" l="1"/>
  <c r="F352" i="2"/>
  <c r="D344" i="2"/>
  <c r="E343" i="2"/>
  <c r="C361" i="2"/>
  <c r="D345" i="2" l="1"/>
  <c r="E344" i="2"/>
  <c r="B354" i="2"/>
  <c r="F353" i="2"/>
  <c r="C362" i="2"/>
  <c r="B355" i="2" l="1"/>
  <c r="F354" i="2"/>
  <c r="D346" i="2"/>
  <c r="E345" i="2"/>
  <c r="C363" i="2"/>
  <c r="D347" i="2" l="1"/>
  <c r="E346" i="2"/>
  <c r="B356" i="2"/>
  <c r="F355" i="2"/>
  <c r="C364" i="2"/>
  <c r="B357" i="2" l="1"/>
  <c r="F356" i="2"/>
  <c r="D348" i="2"/>
  <c r="E347" i="2"/>
  <c r="C365" i="2"/>
  <c r="D349" i="2" l="1"/>
  <c r="E348" i="2"/>
  <c r="B358" i="2"/>
  <c r="F357" i="2"/>
  <c r="C366" i="2"/>
  <c r="B359" i="2" l="1"/>
  <c r="F358" i="2"/>
  <c r="D350" i="2"/>
  <c r="E349" i="2"/>
  <c r="C367" i="2"/>
  <c r="D351" i="2" l="1"/>
  <c r="E350" i="2"/>
  <c r="B360" i="2"/>
  <c r="F359" i="2"/>
  <c r="C368" i="2"/>
  <c r="B361" i="2" l="1"/>
  <c r="F360" i="2"/>
  <c r="D352" i="2"/>
  <c r="E351" i="2"/>
  <c r="C369" i="2"/>
  <c r="D353" i="2" l="1"/>
  <c r="E352" i="2"/>
  <c r="B362" i="2"/>
  <c r="F361" i="2"/>
  <c r="C370" i="2"/>
  <c r="B363" i="2" l="1"/>
  <c r="F362" i="2"/>
  <c r="D354" i="2"/>
  <c r="E353" i="2"/>
  <c r="C371" i="2"/>
  <c r="D355" i="2" l="1"/>
  <c r="E354" i="2"/>
  <c r="B364" i="2"/>
  <c r="F363" i="2"/>
  <c r="C372" i="2"/>
  <c r="B365" i="2" l="1"/>
  <c r="F364" i="2"/>
  <c r="D356" i="2"/>
  <c r="E355" i="2"/>
  <c r="C373" i="2"/>
  <c r="D357" i="2" l="1"/>
  <c r="E356" i="2"/>
  <c r="B366" i="2"/>
  <c r="F365" i="2"/>
  <c r="C374" i="2"/>
  <c r="B367" i="2" l="1"/>
  <c r="F366" i="2"/>
  <c r="D358" i="2"/>
  <c r="E357" i="2"/>
  <c r="C375" i="2"/>
  <c r="D359" i="2" l="1"/>
  <c r="E358" i="2"/>
  <c r="B368" i="2"/>
  <c r="F367" i="2"/>
  <c r="C376" i="2"/>
  <c r="B369" i="2" l="1"/>
  <c r="F368" i="2"/>
  <c r="D360" i="2"/>
  <c r="E359" i="2"/>
  <c r="C377" i="2"/>
  <c r="D361" i="2" l="1"/>
  <c r="E360" i="2"/>
  <c r="B370" i="2"/>
  <c r="F369" i="2"/>
  <c r="C378" i="2"/>
  <c r="B371" i="2" l="1"/>
  <c r="F370" i="2"/>
  <c r="D362" i="2"/>
  <c r="E361" i="2"/>
  <c r="C379" i="2"/>
  <c r="D363" i="2" l="1"/>
  <c r="E362" i="2"/>
  <c r="B372" i="2"/>
  <c r="F371" i="2"/>
  <c r="C380" i="2"/>
  <c r="B373" i="2" l="1"/>
  <c r="F372" i="2"/>
  <c r="D364" i="2"/>
  <c r="E363" i="2"/>
  <c r="C381" i="2"/>
  <c r="D365" i="2" l="1"/>
  <c r="E364" i="2"/>
  <c r="B374" i="2"/>
  <c r="F373" i="2"/>
  <c r="C382" i="2"/>
  <c r="B375" i="2" l="1"/>
  <c r="F374" i="2"/>
  <c r="D366" i="2"/>
  <c r="E365" i="2"/>
  <c r="C383" i="2"/>
  <c r="D367" i="2" l="1"/>
  <c r="E366" i="2"/>
  <c r="B376" i="2"/>
  <c r="F375" i="2"/>
  <c r="B377" i="2" l="1"/>
  <c r="F376" i="2"/>
  <c r="D368" i="2"/>
  <c r="E367" i="2"/>
  <c r="D369" i="2" l="1"/>
  <c r="E368" i="2"/>
  <c r="B378" i="2"/>
  <c r="F377" i="2"/>
  <c r="B379" i="2" l="1"/>
  <c r="F378" i="2"/>
  <c r="D370" i="2"/>
  <c r="E369" i="2"/>
  <c r="D371" i="2" l="1"/>
  <c r="E370" i="2"/>
  <c r="B380" i="2"/>
  <c r="F379" i="2"/>
  <c r="B381" i="2" l="1"/>
  <c r="F380" i="2"/>
  <c r="D372" i="2"/>
  <c r="E371" i="2"/>
  <c r="D373" i="2" l="1"/>
  <c r="E372" i="2"/>
  <c r="B382" i="2"/>
  <c r="F381" i="2"/>
  <c r="B383" i="2" l="1"/>
  <c r="F382" i="2"/>
  <c r="D374" i="2"/>
  <c r="E373" i="2"/>
  <c r="D375" i="2" l="1"/>
  <c r="E374" i="2"/>
  <c r="F383" i="2"/>
  <c r="L3" i="1" s="1"/>
  <c r="D376" i="2" l="1"/>
  <c r="E375" i="2"/>
  <c r="F2" i="4" l="1"/>
  <c r="F4" i="4" s="1"/>
  <c r="M3" i="1"/>
  <c r="O3" i="1" s="1"/>
  <c r="D377" i="2"/>
  <c r="E376" i="2"/>
  <c r="I7" i="1" l="1"/>
  <c r="H7" i="1"/>
  <c r="D378" i="2"/>
  <c r="E377" i="2"/>
  <c r="D379" i="2" l="1"/>
  <c r="E378" i="2"/>
  <c r="D380" i="2" l="1"/>
  <c r="E379" i="2"/>
  <c r="D381" i="2" l="1"/>
  <c r="E380" i="2"/>
  <c r="D382" i="2" l="1"/>
  <c r="E381" i="2"/>
  <c r="D383" i="2" l="1"/>
  <c r="E383" i="2" s="1"/>
  <c r="E382" i="2"/>
</calcChain>
</file>

<file path=xl/sharedStrings.xml><?xml version="1.0" encoding="utf-8"?>
<sst xmlns="http://schemas.openxmlformats.org/spreadsheetml/2006/main" count="43" uniqueCount="39">
  <si>
    <t xml:space="preserve">Valor nominal </t>
  </si>
  <si>
    <t xml:space="preserve">Porcentaje de cupón </t>
  </si>
  <si>
    <t xml:space="preserve">Fecha de negociación </t>
  </si>
  <si>
    <t>TIR</t>
  </si>
  <si>
    <t xml:space="preserve">Cupones que hay hasta la fecha de vencimiento </t>
  </si>
  <si>
    <t xml:space="preserve">Fechas cupones </t>
  </si>
  <si>
    <t xml:space="preserve">Valor de los cupones </t>
  </si>
  <si>
    <t>Fecha de Vencimiento</t>
  </si>
  <si>
    <t xml:space="preserve">Numero de días </t>
  </si>
  <si>
    <t xml:space="preserve">Valores </t>
  </si>
  <si>
    <t xml:space="preserve">Precio sucio </t>
  </si>
  <si>
    <t xml:space="preserve">Cupon corrido </t>
  </si>
  <si>
    <t>Precio Limpio</t>
  </si>
  <si>
    <t xml:space="preserve">Instrucciones </t>
  </si>
  <si>
    <t>Modelo de TES Tasa Fija</t>
  </si>
  <si>
    <t>Valor de giro 1</t>
  </si>
  <si>
    <t>Simultanea</t>
  </si>
  <si>
    <t>Fecha de inicio</t>
  </si>
  <si>
    <t>Fecha final</t>
  </si>
  <si>
    <t>Valores para el valor de giro 1</t>
  </si>
  <si>
    <t>Fecha simultanea</t>
  </si>
  <si>
    <t>Valor final de la simultanea</t>
  </si>
  <si>
    <t>TIR de Recompra</t>
  </si>
  <si>
    <t>TES TFIT</t>
  </si>
  <si>
    <t>Para años bisiestos en simultanea</t>
  </si>
  <si>
    <t xml:space="preserve">Fecha de vencimiento </t>
  </si>
  <si>
    <t>2.Fecha desde el ultimo cupon hasta el vencimiento de la simultanea</t>
  </si>
  <si>
    <t>4. Valor para la Tir de compra (vencimiento - final de la simultanea)</t>
  </si>
  <si>
    <t>1. Valor de inicio de simultanea y valor final de simultanea  (valor final de la simultanea)</t>
  </si>
  <si>
    <t>3. Valor de negociación y de inicio (Valor de la simultanea)</t>
  </si>
  <si>
    <t xml:space="preserve">2. Se debe entrar la fecha de Vencimiento </t>
  </si>
  <si>
    <t xml:space="preserve">1. Se debe entrar la fecha de negociación </t>
  </si>
  <si>
    <t xml:space="preserve">3. Entrar el valor nominal </t>
  </si>
  <si>
    <t xml:space="preserve">4. Entrar el porcentaje del cupón </t>
  </si>
  <si>
    <t xml:space="preserve">5. Entrar la TIR </t>
  </si>
  <si>
    <t xml:space="preserve">6. Se da la fecha de inicio de la simultanea </t>
  </si>
  <si>
    <t xml:space="preserve">7. Se pone la fecha final de la simultanea </t>
  </si>
  <si>
    <t xml:space="preserve">8. se pone la TIR de la simultanea </t>
  </si>
  <si>
    <t xml:space="preserve">9. Si se quiere poner nuevos datos se da click en borrar datos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</si>
</sst>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44" formatCode="_-&quot;$&quot;\ * #,##0.00_-;\-&quot;$&quot;\ * #,##0.00_-;_-&quot;$&quot;\ * &quot;-&quot;??_-;_-@_-"/>
    <numFmt numFmtId="164" formatCode="&quot;$&quot;\ #,##0.00"/>
    <numFmt numFmtId="165" formatCode="0.000%"/>
    <numFmt numFmtId="166" formatCode="&quot;$&quot;\ #,##0.000"/>
  </numFmts>
  <fonts count="4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000000"/>
      <name val="Calibri"/>
      <family val="2"/>
    </font>
  </fonts>
  <fills count="20">
    <fill>
      <patternFill patternType="none"/>
    </fill>
    <fill>
      <patternFill patternType="gray125"/>
    </fill>
    <fill>
      <patternFill patternType="solid">
        <fgColor theme="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33CCCC"/>
        <bgColor indexed="64"/>
      </patternFill>
    </fill>
    <fill>
      <patternFill patternType="solid">
        <fgColor rgb="FF66FFFF"/>
        <bgColor indexed="64"/>
      </patternFill>
    </fill>
    <fill>
      <patternFill patternType="solid">
        <fgColor rgb="FFCC00CC"/>
        <bgColor indexed="64"/>
      </patternFill>
    </fill>
    <fill>
      <patternFill patternType="solid">
        <fgColor rgb="FFFE94F9"/>
        <bgColor indexed="64"/>
      </patternFill>
    </fill>
    <fill>
      <patternFill patternType="solid">
        <fgColor rgb="FFCC0000"/>
        <bgColor indexed="64"/>
      </patternFill>
    </fill>
    <fill>
      <patternFill patternType="solid">
        <fgColor rgb="FFFF7171"/>
        <bgColor indexed="64"/>
      </patternFill>
    </fill>
    <fill>
      <patternFill patternType="solid">
        <fgColor rgb="FF009900"/>
        <bgColor indexed="64"/>
      </patternFill>
    </fill>
    <fill>
      <patternFill patternType="solid">
        <fgColor rgb="FFA7FFA7"/>
        <bgColor indexed="64"/>
      </patternFill>
    </fill>
    <fill>
      <patternFill patternType="solid">
        <fgColor rgb="FFCC9900"/>
        <bgColor indexed="64"/>
      </patternFill>
    </fill>
    <fill>
      <patternFill patternType="solid">
        <fgColor rgb="FFFFEDB9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BFFB3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7" tint="0.59999389629810485"/>
        <bgColor indexed="64"/>
      </patternFill>
    </fill>
  </fills>
  <borders count="1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3">
    <xf numFmtId="0" fontId="0" fillId="0" borderId="0"/>
    <xf numFmtId="44" fontId="1" fillId="0" borderId="0" applyFont="0" applyFill="0" applyBorder="0" applyAlignment="0" applyProtection="0"/>
    <xf numFmtId="9" fontId="1" fillId="0" borderId="0" applyFont="0" applyFill="0" applyBorder="0" applyAlignment="0" applyProtection="0"/>
  </cellStyleXfs>
  <cellXfs count="61">
    <xf numFmtId="0" fontId="0" fillId="0" borderId="0" xfId="0"/>
    <xf numFmtId="0" fontId="2" fillId="2" borderId="0" xfId="0" applyFont="1" applyFill="1" applyAlignment="1">
      <alignment horizontal="center" vertical="center" wrapText="1"/>
    </xf>
    <xf numFmtId="0" fontId="0" fillId="3" borderId="0" xfId="0" applyFill="1"/>
    <xf numFmtId="14" fontId="0" fillId="0" borderId="0" xfId="0" applyNumberFormat="1"/>
    <xf numFmtId="164" fontId="0" fillId="0" borderId="0" xfId="0" applyNumberFormat="1"/>
    <xf numFmtId="0" fontId="0" fillId="0" borderId="0" xfId="0" applyAlignment="1">
      <alignment horizontal="center"/>
    </xf>
    <xf numFmtId="14" fontId="0" fillId="5" borderId="0" xfId="0" applyNumberFormat="1" applyFill="1"/>
    <xf numFmtId="0" fontId="2" fillId="4" borderId="0" xfId="0" applyFont="1" applyFill="1" applyAlignment="1">
      <alignment vertical="center"/>
    </xf>
    <xf numFmtId="0" fontId="2" fillId="8" borderId="0" xfId="0" applyFont="1" applyFill="1" applyAlignment="1">
      <alignment horizontal="center" vertical="center" wrapText="1"/>
    </xf>
    <xf numFmtId="0" fontId="0" fillId="3" borderId="0" xfId="0" applyFill="1" applyAlignment="1">
      <alignment horizontal="center" vertical="center"/>
    </xf>
    <xf numFmtId="14" fontId="0" fillId="3" borderId="0" xfId="0" applyNumberFormat="1" applyFill="1" applyAlignment="1">
      <alignment horizontal="center" vertical="center"/>
    </xf>
    <xf numFmtId="164" fontId="0" fillId="3" borderId="0" xfId="0" applyNumberFormat="1" applyFill="1" applyAlignment="1">
      <alignment horizontal="center" vertical="center"/>
    </xf>
    <xf numFmtId="10" fontId="0" fillId="3" borderId="0" xfId="0" applyNumberFormat="1" applyFill="1" applyAlignment="1">
      <alignment horizontal="center" vertical="center"/>
    </xf>
    <xf numFmtId="0" fontId="2" fillId="10" borderId="0" xfId="0" applyFont="1" applyFill="1" applyAlignment="1">
      <alignment horizontal="center" vertical="center" wrapText="1"/>
    </xf>
    <xf numFmtId="0" fontId="2" fillId="12" borderId="0" xfId="0" applyFont="1" applyFill="1" applyAlignment="1">
      <alignment horizontal="center" vertical="center" wrapText="1"/>
    </xf>
    <xf numFmtId="44" fontId="0" fillId="3" borderId="0" xfId="1" applyFont="1" applyFill="1" applyAlignment="1">
      <alignment horizontal="center" vertical="center"/>
    </xf>
    <xf numFmtId="0" fontId="2" fillId="7" borderId="1" xfId="0" applyFont="1" applyFill="1" applyBorder="1" applyAlignment="1">
      <alignment horizontal="center" vertical="center"/>
    </xf>
    <xf numFmtId="14" fontId="2" fillId="7" borderId="1" xfId="0" applyNumberFormat="1" applyFont="1" applyFill="1" applyBorder="1" applyAlignment="1">
      <alignment horizontal="center" vertical="center"/>
    </xf>
    <xf numFmtId="0" fontId="2" fillId="9" borderId="1" xfId="0" applyFont="1" applyFill="1" applyBorder="1" applyAlignment="1">
      <alignment horizontal="center" vertical="center" wrapText="1"/>
    </xf>
    <xf numFmtId="0" fontId="0" fillId="7" borderId="1" xfId="0" applyFill="1" applyBorder="1" applyAlignment="1">
      <alignment horizontal="center"/>
    </xf>
    <xf numFmtId="14" fontId="0" fillId="7" borderId="1" xfId="0" applyNumberFormat="1" applyFill="1" applyBorder="1" applyAlignment="1">
      <alignment horizontal="center"/>
    </xf>
    <xf numFmtId="0" fontId="0" fillId="9" borderId="1" xfId="0" applyNumberFormat="1" applyFill="1" applyBorder="1" applyAlignment="1">
      <alignment horizontal="center"/>
    </xf>
    <xf numFmtId="164" fontId="0" fillId="11" borderId="0" xfId="0" applyNumberFormat="1" applyFill="1" applyAlignment="1">
      <alignment horizontal="center"/>
    </xf>
    <xf numFmtId="44" fontId="0" fillId="13" borderId="0" xfId="1" applyFont="1" applyFill="1" applyAlignment="1">
      <alignment horizontal="center"/>
    </xf>
    <xf numFmtId="0" fontId="0" fillId="13" borderId="0" xfId="0" applyFill="1" applyAlignment="1">
      <alignment horizontal="center"/>
    </xf>
    <xf numFmtId="165" fontId="0" fillId="3" borderId="0" xfId="0" applyNumberFormat="1" applyFill="1" applyAlignment="1">
      <alignment horizontal="center" vertical="center"/>
    </xf>
    <xf numFmtId="0" fontId="2" fillId="0" borderId="0" xfId="0" applyFont="1" applyFill="1" applyBorder="1" applyAlignment="1">
      <alignment horizontal="center"/>
    </xf>
    <xf numFmtId="0" fontId="0" fillId="0" borderId="0" xfId="0" applyFill="1" applyBorder="1" applyAlignment="1">
      <alignment horizontal="left" vertical="center" wrapText="1"/>
    </xf>
    <xf numFmtId="10" fontId="0" fillId="0" borderId="0" xfId="2" applyNumberFormat="1" applyFont="1"/>
    <xf numFmtId="0" fontId="0" fillId="19" borderId="7" xfId="0" applyFill="1" applyBorder="1" applyAlignment="1">
      <alignment horizontal="center" vertical="center"/>
    </xf>
    <xf numFmtId="44" fontId="0" fillId="18" borderId="9" xfId="0" applyNumberFormat="1" applyFill="1" applyBorder="1"/>
    <xf numFmtId="44" fontId="0" fillId="18" borderId="9" xfId="1" applyFont="1" applyFill="1" applyBorder="1"/>
    <xf numFmtId="44" fontId="0" fillId="18" borderId="10" xfId="0" applyNumberFormat="1" applyFill="1" applyBorder="1"/>
    <xf numFmtId="0" fontId="2" fillId="16" borderId="8" xfId="0" applyFont="1" applyFill="1" applyBorder="1"/>
    <xf numFmtId="10" fontId="0" fillId="3" borderId="0" xfId="2" applyNumberFormat="1" applyFont="1" applyFill="1" applyAlignment="1">
      <alignment horizontal="center" vertical="center"/>
    </xf>
    <xf numFmtId="166" fontId="0" fillId="0" borderId="0" xfId="0" applyNumberFormat="1"/>
    <xf numFmtId="0" fontId="0" fillId="0" borderId="0" xfId="0" applyNumberFormat="1"/>
    <xf numFmtId="14" fontId="2" fillId="2" borderId="0" xfId="0" applyNumberFormat="1" applyFont="1" applyFill="1" applyAlignment="1">
      <alignment horizontal="center" vertical="center" wrapText="1"/>
    </xf>
    <xf numFmtId="0" fontId="2" fillId="2" borderId="0" xfId="0" applyFont="1" applyFill="1" applyAlignment="1">
      <alignment horizontal="center" vertical="center" wrapText="1"/>
    </xf>
    <xf numFmtId="0" fontId="2" fillId="19" borderId="11" xfId="0" applyFont="1" applyFill="1" applyBorder="1" applyAlignment="1">
      <alignment wrapText="1"/>
    </xf>
    <xf numFmtId="0" fontId="0" fillId="19" borderId="12" xfId="0" applyFill="1" applyBorder="1" applyAlignment="1">
      <alignment horizontal="center" vertical="center"/>
    </xf>
    <xf numFmtId="0" fontId="2" fillId="19" borderId="6" xfId="1" applyNumberFormat="1" applyFont="1" applyFill="1" applyBorder="1" applyAlignment="1">
      <alignment wrapText="1"/>
    </xf>
    <xf numFmtId="0" fontId="0" fillId="15" borderId="4" xfId="0" applyFill="1" applyBorder="1" applyAlignment="1">
      <alignment horizontal="left" vertical="center" wrapText="1"/>
    </xf>
    <xf numFmtId="0" fontId="0" fillId="15" borderId="5" xfId="0" applyFill="1" applyBorder="1" applyAlignment="1">
      <alignment horizontal="left" vertical="center" wrapText="1"/>
    </xf>
    <xf numFmtId="0" fontId="0" fillId="15" borderId="6" xfId="0" applyFill="1" applyBorder="1" applyAlignment="1">
      <alignment horizontal="left" vertical="center" wrapText="1"/>
    </xf>
    <xf numFmtId="0" fontId="0" fillId="15" borderId="7" xfId="0" applyFill="1" applyBorder="1" applyAlignment="1">
      <alignment horizontal="left" vertical="center" wrapText="1"/>
    </xf>
    <xf numFmtId="0" fontId="2" fillId="16" borderId="0" xfId="0" applyFont="1" applyFill="1" applyAlignment="1">
      <alignment horizontal="center"/>
    </xf>
    <xf numFmtId="0" fontId="2" fillId="2" borderId="0" xfId="0" applyFont="1" applyFill="1" applyAlignment="1">
      <alignment horizontal="center" vertical="center" wrapText="1"/>
    </xf>
    <xf numFmtId="0" fontId="2" fillId="14" borderId="2" xfId="0" applyFont="1" applyFill="1" applyBorder="1" applyAlignment="1">
      <alignment horizontal="center" vertical="center" wrapText="1"/>
    </xf>
    <xf numFmtId="0" fontId="2" fillId="14" borderId="3" xfId="0" applyFont="1" applyFill="1" applyBorder="1" applyAlignment="1">
      <alignment horizontal="center" vertical="center" wrapText="1"/>
    </xf>
    <xf numFmtId="0" fontId="2" fillId="6" borderId="0" xfId="0" applyFont="1" applyFill="1" applyAlignment="1">
      <alignment horizontal="center" vertical="center"/>
    </xf>
    <xf numFmtId="0" fontId="2" fillId="17" borderId="2" xfId="0" applyFont="1" applyFill="1" applyBorder="1" applyAlignment="1">
      <alignment horizontal="center"/>
    </xf>
    <xf numFmtId="0" fontId="2" fillId="17" borderId="3" xfId="0" applyFont="1" applyFill="1" applyBorder="1" applyAlignment="1">
      <alignment horizontal="center"/>
    </xf>
    <xf numFmtId="0" fontId="2" fillId="0" borderId="0" xfId="0" applyFont="1" applyAlignment="1">
      <alignment horizontal="center"/>
    </xf>
    <xf numFmtId="0" fontId="2" fillId="0" borderId="5" xfId="0" applyFont="1" applyBorder="1" applyAlignment="1">
      <alignment horizontal="center"/>
    </xf>
    <xf numFmtId="0" fontId="0" fillId="15" borderId="2" xfId="0" applyFill="1" applyBorder="1" applyAlignment="1">
      <alignment horizontal="center"/>
    </xf>
    <xf numFmtId="0" fontId="0" fillId="15" borderId="3" xfId="0" applyFill="1" applyBorder="1" applyAlignment="1">
      <alignment horizontal="center"/>
    </xf>
    <xf numFmtId="0" fontId="0" fillId="15" borderId="4" xfId="0" applyFill="1" applyBorder="1" applyAlignment="1">
      <alignment horizontal="center" wrapText="1"/>
    </xf>
    <xf numFmtId="0" fontId="0" fillId="15" borderId="5" xfId="0" applyFill="1" applyBorder="1" applyAlignment="1">
      <alignment horizontal="center" wrapText="1"/>
    </xf>
    <xf numFmtId="0" fontId="0" fillId="15" borderId="6" xfId="0" applyFill="1" applyBorder="1" applyAlignment="1">
      <alignment horizontal="center" wrapText="1"/>
    </xf>
    <xf numFmtId="0" fontId="0" fillId="15" borderId="7" xfId="0" applyFill="1" applyBorder="1" applyAlignment="1">
      <alignment horizontal="center" wrapText="1"/>
    </xf>
  </cellXfs>
  <cellStyles count="3">
    <cellStyle name="Moneda" xfId="1" builtinId="4"/>
    <cellStyle name="Normal" xfId="0" builtinId="0"/>
    <cellStyle name="Porcentaje" xfId="2" builtinId="5"/>
  </cellStyles>
  <dxfs count="0"/>
  <tableStyles count="0" defaultTableStyle="TableStyleMedium2" defaultPivotStyle="PivotStyleLight16"/>
  <colors>
    <mruColors>
      <color rgb="FFFBFFB3"/>
      <color rgb="FF00FF99"/>
      <color rgb="FF00CC66"/>
      <color rgb="FF33CCCC"/>
      <color rgb="FF009999"/>
      <color rgb="FFFFFF00"/>
      <color rgb="FFFF7171"/>
      <color rgb="FFFE94F9"/>
      <color rgb="FFFFEDB9"/>
      <color rgb="FFCC99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11" Type="http://schemas.microsoft.com/office/2006/relationships/vbaProject" Target="vbaProject.bin"/><Relationship Id="rId5" Type="http://schemas.openxmlformats.org/officeDocument/2006/relationships/styles" Target="styles.xml"/><Relationship Id="rId10" Type="http://schemas.openxmlformats.org/officeDocument/2006/relationships/customXml" Target="../customXml/item3.xml"/><Relationship Id="rId4" Type="http://schemas.openxmlformats.org/officeDocument/2006/relationships/theme" Target="theme/theme1.xml"/><Relationship Id="rId9" Type="http://schemas.openxmlformats.org/officeDocument/2006/relationships/customXml" Target="../customXml/item2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304800</xdr:colOff>
          <xdr:row>5</xdr:row>
          <xdr:rowOff>15240</xdr:rowOff>
        </xdr:from>
        <xdr:to>
          <xdr:col>11</xdr:col>
          <xdr:colOff>167640</xdr:colOff>
          <xdr:row>6</xdr:row>
          <xdr:rowOff>487680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Borrar datos 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CA9F65-F8EA-4EA3-92A9-39214B59B323}">
  <dimension ref="A1:O14"/>
  <sheetViews>
    <sheetView tabSelected="1" zoomScale="85" zoomScaleNormal="85" workbookViewId="0">
      <selection activeCell="H7" sqref="H7"/>
    </sheetView>
  </sheetViews>
  <sheetFormatPr baseColWidth="10" defaultRowHeight="14.4" x14ac:dyDescent="0.3"/>
  <cols>
    <col min="3" max="3" width="5.109375" customWidth="1"/>
    <col min="4" max="4" width="15.44140625" bestFit="1" customWidth="1"/>
    <col min="5" max="5" width="19.6640625" bestFit="1" customWidth="1"/>
    <col min="6" max="6" width="18" bestFit="1" customWidth="1"/>
    <col min="7" max="7" width="24.33203125" bestFit="1" customWidth="1"/>
    <col min="8" max="8" width="19.5546875" bestFit="1" customWidth="1"/>
    <col min="9" max="9" width="17.6640625" bestFit="1" customWidth="1"/>
    <col min="10" max="10" width="19" bestFit="1" customWidth="1"/>
    <col min="11" max="11" width="18" bestFit="1" customWidth="1"/>
    <col min="12" max="12" width="22.109375" bestFit="1" customWidth="1"/>
    <col min="13" max="13" width="11.88671875" bestFit="1" customWidth="1"/>
  </cols>
  <sheetData>
    <row r="1" spans="1:15" ht="15" thickBot="1" x14ac:dyDescent="0.35">
      <c r="D1" s="46" t="s">
        <v>14</v>
      </c>
      <c r="E1" s="46"/>
      <c r="F1" s="46"/>
      <c r="G1" s="46"/>
      <c r="H1" s="46"/>
      <c r="I1" s="46"/>
      <c r="J1" s="46"/>
      <c r="K1" s="46"/>
      <c r="L1" s="46"/>
      <c r="M1" s="46"/>
      <c r="N1" s="46"/>
      <c r="O1" s="46"/>
    </row>
    <row r="2" spans="1:15" ht="64.8" customHeight="1" x14ac:dyDescent="0.3">
      <c r="A2" s="48" t="s">
        <v>13</v>
      </c>
      <c r="B2" s="49"/>
      <c r="C2" s="26"/>
      <c r="D2" s="47" t="s">
        <v>23</v>
      </c>
      <c r="E2" s="1" t="s">
        <v>2</v>
      </c>
      <c r="F2" s="37" t="s">
        <v>25</v>
      </c>
      <c r="G2" s="1" t="s">
        <v>0</v>
      </c>
      <c r="H2" s="1" t="s">
        <v>1</v>
      </c>
      <c r="I2" s="1" t="s">
        <v>3</v>
      </c>
      <c r="J2" s="1" t="s">
        <v>4</v>
      </c>
      <c r="K2" s="1" t="s">
        <v>6</v>
      </c>
      <c r="L2" s="1" t="s">
        <v>15</v>
      </c>
      <c r="M2" s="1" t="s">
        <v>10</v>
      </c>
      <c r="N2" s="1" t="s">
        <v>11</v>
      </c>
      <c r="O2" s="1" t="s">
        <v>12</v>
      </c>
    </row>
    <row r="3" spans="1:15" ht="29.4" customHeight="1" x14ac:dyDescent="0.3">
      <c r="A3" s="42" t="s">
        <v>31</v>
      </c>
      <c r="B3" s="43"/>
      <c r="C3" s="27"/>
      <c r="D3" s="47"/>
      <c r="E3" s="10"/>
      <c r="F3" s="10"/>
      <c r="G3" s="11"/>
      <c r="H3" s="25"/>
      <c r="I3" s="12"/>
      <c r="J3" s="9" t="e">
        <f>COUPNUM(E3,F3,1,3)</f>
        <v>#NUM!</v>
      </c>
      <c r="K3" s="11">
        <f>G3*H3</f>
        <v>0</v>
      </c>
      <c r="L3" s="15" t="e">
        <f>SUM('Base de datos '!F3:F383)</f>
        <v>#NUM!</v>
      </c>
      <c r="M3" s="2" t="e">
        <f>(L3/G3)*100</f>
        <v>#NUM!</v>
      </c>
      <c r="N3" s="2" t="e">
        <f>((H3/365)*'Base de datos '!D2)*100</f>
        <v>#NUM!</v>
      </c>
      <c r="O3" s="2" t="e">
        <f>M3-N3</f>
        <v>#NUM!</v>
      </c>
    </row>
    <row r="4" spans="1:15" ht="25.8" customHeight="1" x14ac:dyDescent="0.3">
      <c r="A4" s="42" t="s">
        <v>30</v>
      </c>
      <c r="B4" s="43"/>
      <c r="C4" s="27"/>
    </row>
    <row r="5" spans="1:15" ht="24" customHeight="1" x14ac:dyDescent="0.3">
      <c r="A5" s="42" t="s">
        <v>32</v>
      </c>
      <c r="B5" s="43"/>
      <c r="C5" s="27"/>
      <c r="D5" s="46" t="s">
        <v>16</v>
      </c>
      <c r="E5" s="46"/>
      <c r="F5" s="46"/>
      <c r="G5" s="46"/>
      <c r="H5" s="46"/>
      <c r="I5" s="46"/>
    </row>
    <row r="6" spans="1:15" ht="39.6" customHeight="1" x14ac:dyDescent="0.3">
      <c r="A6" s="42" t="s">
        <v>33</v>
      </c>
      <c r="B6" s="43"/>
      <c r="C6" s="27"/>
      <c r="D6" s="1" t="s">
        <v>17</v>
      </c>
      <c r="E6" s="1" t="s">
        <v>18</v>
      </c>
      <c r="F6" s="1" t="s">
        <v>3</v>
      </c>
      <c r="G6" s="1" t="s">
        <v>16</v>
      </c>
      <c r="H6" s="38" t="s">
        <v>21</v>
      </c>
      <c r="I6" s="1" t="s">
        <v>22</v>
      </c>
    </row>
    <row r="7" spans="1:15" ht="46.2" customHeight="1" thickBot="1" x14ac:dyDescent="0.35">
      <c r="A7" s="44" t="s">
        <v>34</v>
      </c>
      <c r="B7" s="45"/>
      <c r="C7" s="27"/>
      <c r="D7" s="10"/>
      <c r="E7" s="10"/>
      <c r="F7" s="34"/>
      <c r="G7" s="11" t="e">
        <f>IF(E3=D7,L3,(L3*((1+I3)^('Base de datos simultanea'!D4/365))))</f>
        <v>#NUM!</v>
      </c>
      <c r="H7" s="11" t="e">
        <f>'Base de datos simultanea'!F4</f>
        <v>#NUM!</v>
      </c>
      <c r="I7" s="25" t="e">
        <f>(((G3+K3)/('Base de datos simultanea'!F4))^(365/'Base de datos simultanea'!D5))-1</f>
        <v>#NUM!</v>
      </c>
    </row>
    <row r="8" spans="1:15" x14ac:dyDescent="0.3">
      <c r="A8" s="55" t="s">
        <v>16</v>
      </c>
      <c r="B8" s="56"/>
    </row>
    <row r="9" spans="1:15" ht="30.6" customHeight="1" x14ac:dyDescent="0.3">
      <c r="A9" s="57" t="s">
        <v>35</v>
      </c>
      <c r="B9" s="58"/>
      <c r="F9" s="3"/>
      <c r="G9" s="4"/>
    </row>
    <row r="10" spans="1:15" ht="28.8" customHeight="1" x14ac:dyDescent="0.3">
      <c r="A10" s="57" t="s">
        <v>36</v>
      </c>
      <c r="B10" s="58"/>
      <c r="F10" s="3"/>
      <c r="G10" s="4"/>
      <c r="H10" s="4"/>
      <c r="I10" s="4"/>
    </row>
    <row r="11" spans="1:15" ht="32.4" customHeight="1" x14ac:dyDescent="0.3">
      <c r="A11" s="57" t="s">
        <v>37</v>
      </c>
      <c r="B11" s="58"/>
      <c r="H11" s="36"/>
      <c r="I11" s="4"/>
    </row>
    <row r="12" spans="1:15" ht="26.4" customHeight="1" thickBot="1" x14ac:dyDescent="0.35">
      <c r="A12" s="59" t="s">
        <v>38</v>
      </c>
      <c r="B12" s="60"/>
      <c r="E12" s="4"/>
      <c r="G12" s="35"/>
    </row>
    <row r="13" spans="1:15" ht="28.2" customHeight="1" x14ac:dyDescent="0.3"/>
    <row r="14" spans="1:15" ht="36" customHeight="1" x14ac:dyDescent="0.3"/>
  </sheetData>
  <mergeCells count="14">
    <mergeCell ref="A8:B8"/>
    <mergeCell ref="A9:B9"/>
    <mergeCell ref="A10:B10"/>
    <mergeCell ref="A11:B11"/>
    <mergeCell ref="A12:B12"/>
    <mergeCell ref="A6:B6"/>
    <mergeCell ref="A7:B7"/>
    <mergeCell ref="D2:D3"/>
    <mergeCell ref="D1:O1"/>
    <mergeCell ref="A2:B2"/>
    <mergeCell ref="A3:B3"/>
    <mergeCell ref="A4:B4"/>
    <mergeCell ref="A5:B5"/>
    <mergeCell ref="D5:I5"/>
  </mergeCells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8" r:id="rId4" name="Button 4">
              <controlPr defaultSize="0" print="0" autoFill="0" autoPict="0" macro="[0]!micro">
                <anchor moveWithCells="1" sizeWithCells="1">
                  <from>
                    <xdr:col>9</xdr:col>
                    <xdr:colOff>304800</xdr:colOff>
                    <xdr:row>5</xdr:row>
                    <xdr:rowOff>15240</xdr:rowOff>
                  </from>
                  <to>
                    <xdr:col>11</xdr:col>
                    <xdr:colOff>167640</xdr:colOff>
                    <xdr:row>6</xdr:row>
                    <xdr:rowOff>487680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6A4B2C-503E-40E0-9B1E-70DCFA73F4C0}">
  <dimension ref="A1:H383"/>
  <sheetViews>
    <sheetView workbookViewId="0">
      <selection activeCell="A28" sqref="A28"/>
    </sheetView>
  </sheetViews>
  <sheetFormatPr baseColWidth="10" defaultRowHeight="14.4" x14ac:dyDescent="0.3"/>
  <cols>
    <col min="1" max="1" width="21" customWidth="1"/>
    <col min="2" max="4" width="11.5546875" style="5"/>
    <col min="5" max="5" width="16.6640625" style="5" bestFit="1" customWidth="1"/>
    <col min="6" max="6" width="18" style="5" bestFit="1" customWidth="1"/>
    <col min="7" max="7" width="14" bestFit="1" customWidth="1"/>
  </cols>
  <sheetData>
    <row r="1" spans="1:8" ht="28.8" x14ac:dyDescent="0.3">
      <c r="A1" s="7" t="s">
        <v>7</v>
      </c>
      <c r="B1" s="50" t="s">
        <v>5</v>
      </c>
      <c r="C1" s="50"/>
      <c r="D1" s="8" t="s">
        <v>8</v>
      </c>
      <c r="E1" s="13" t="s">
        <v>9</v>
      </c>
      <c r="F1" s="14" t="s">
        <v>19</v>
      </c>
    </row>
    <row r="2" spans="1:8" x14ac:dyDescent="0.3">
      <c r="A2" s="6">
        <f>'Modelos de TES'!F3</f>
        <v>0</v>
      </c>
      <c r="B2" s="16">
        <v>0</v>
      </c>
      <c r="C2" s="17" t="e">
        <f>COUPPCD('Modelos de TES'!E3,'Modelos de TES'!F3,1,3)</f>
        <v>#NUM!</v>
      </c>
      <c r="D2" s="18" t="e">
        <f>COUPDAYBS('Modelos de TES'!E3,'Modelos de TES'!F3,1,3)</f>
        <v>#NUM!</v>
      </c>
      <c r="E2" s="13"/>
      <c r="F2" s="14"/>
      <c r="H2" s="28"/>
    </row>
    <row r="3" spans="1:8" x14ac:dyDescent="0.3">
      <c r="B3" s="19">
        <v>1</v>
      </c>
      <c r="C3" s="20" t="e">
        <f>COUPNCD('Modelos de TES'!E3,A2,1,3)</f>
        <v>#NUM!</v>
      </c>
      <c r="D3" s="21" t="e">
        <f>IF(C3-C2=366,(COUPDAYSNC('Modelos de TES'!E3,'Modelos de TES'!F3,1,3)-1),(COUPDAYSNC('Modelos de TES'!E3,'Modelos de TES'!F3,1,3)))</f>
        <v>#NUM!</v>
      </c>
      <c r="E3" s="22" t="e">
        <f>(IF('Modelos de TES'!$J$3='Base de datos '!B3,'Modelos de TES'!$K$3+'Modelos de TES'!$G$3,'Modelos de TES'!$K$3))/((1+'Modelos de TES'!$I$3)^('Base de datos '!D3/365))</f>
        <v>#NUM!</v>
      </c>
      <c r="F3" s="23" t="e">
        <f>IF('Modelos de TES'!$J$3&gt;='Base de datos '!B3,'Base de datos '!E3,0)</f>
        <v>#NUM!</v>
      </c>
    </row>
    <row r="4" spans="1:8" x14ac:dyDescent="0.3">
      <c r="A4" s="5"/>
      <c r="B4" s="19">
        <v>2</v>
      </c>
      <c r="C4" s="20" t="e">
        <f t="shared" ref="C4:C12" si="0">COUPNCD(C3,$A$2,1,3)</f>
        <v>#NUM!</v>
      </c>
      <c r="D4" s="21" t="e">
        <f>D3+365</f>
        <v>#NUM!</v>
      </c>
      <c r="E4" s="22" t="e">
        <f>(IF('Modelos de TES'!$J$3='Base de datos '!B4,'Modelos de TES'!$K$3+'Modelos de TES'!$G$3,'Modelos de TES'!$K$3))/((1+'Modelos de TES'!$I$3)^('Base de datos '!D4/365))</f>
        <v>#NUM!</v>
      </c>
      <c r="F4" s="23" t="e">
        <f>IF('Modelos de TES'!$J$3&gt;='Base de datos '!B4,'Base de datos '!E4,0)</f>
        <v>#NUM!</v>
      </c>
    </row>
    <row r="5" spans="1:8" x14ac:dyDescent="0.3">
      <c r="B5" s="19">
        <v>3</v>
      </c>
      <c r="C5" s="20" t="e">
        <f t="shared" si="0"/>
        <v>#NUM!</v>
      </c>
      <c r="D5" s="21" t="e">
        <f>D4+365</f>
        <v>#NUM!</v>
      </c>
      <c r="E5" s="22" t="e">
        <f>(IF('Modelos de TES'!$J$3='Base de datos '!B5,'Modelos de TES'!$K$3+'Modelos de TES'!$G$3,'Modelos de TES'!$K$3))/((1+'Modelos de TES'!$I$3)^('Base de datos '!D5/365))</f>
        <v>#NUM!</v>
      </c>
      <c r="F5" s="23" t="e">
        <f>IF('Modelos de TES'!$J$3&gt;='Base de datos '!B5,'Base de datos '!E5,0)</f>
        <v>#NUM!</v>
      </c>
    </row>
    <row r="6" spans="1:8" x14ac:dyDescent="0.3">
      <c r="B6" s="19">
        <v>4</v>
      </c>
      <c r="C6" s="20" t="e">
        <f t="shared" si="0"/>
        <v>#NUM!</v>
      </c>
      <c r="D6" s="21" t="e">
        <f t="shared" ref="D6:D68" si="1">D5+365</f>
        <v>#NUM!</v>
      </c>
      <c r="E6" s="22" t="e">
        <f>(IF('Modelos de TES'!$J$3='Base de datos '!B6,'Modelos de TES'!$K$3+'Modelos de TES'!$G$3,'Modelos de TES'!$K$3))/((1+'Modelos de TES'!$I$3)^('Base de datos '!D6/365))</f>
        <v>#NUM!</v>
      </c>
      <c r="F6" s="23" t="e">
        <f>IF('Modelos de TES'!$J$3&gt;='Base de datos '!B6,'Base de datos '!E6,0)</f>
        <v>#NUM!</v>
      </c>
    </row>
    <row r="7" spans="1:8" x14ac:dyDescent="0.3">
      <c r="B7" s="19">
        <v>5</v>
      </c>
      <c r="C7" s="20" t="e">
        <f t="shared" si="0"/>
        <v>#NUM!</v>
      </c>
      <c r="D7" s="21" t="e">
        <f t="shared" si="1"/>
        <v>#NUM!</v>
      </c>
      <c r="E7" s="22" t="e">
        <f>(IF('Modelos de TES'!$J$3='Base de datos '!B7,'Modelos de TES'!$K$3+'Modelos de TES'!$G$3,'Modelos de TES'!$K$3))/((1+'Modelos de TES'!$I$3)^('Base de datos '!D7/365))</f>
        <v>#NUM!</v>
      </c>
      <c r="F7" s="23" t="e">
        <f>IF('Modelos de TES'!$J$3&gt;='Base de datos '!B7,'Base de datos '!E7,0)</f>
        <v>#NUM!</v>
      </c>
    </row>
    <row r="8" spans="1:8" x14ac:dyDescent="0.3">
      <c r="B8" s="19">
        <v>6</v>
      </c>
      <c r="C8" s="20" t="e">
        <f t="shared" si="0"/>
        <v>#NUM!</v>
      </c>
      <c r="D8" s="21" t="e">
        <f t="shared" si="1"/>
        <v>#NUM!</v>
      </c>
      <c r="E8" s="22" t="e">
        <f>(IF('Modelos de TES'!$J$3='Base de datos '!B8,'Modelos de TES'!$K$3+'Modelos de TES'!$G$3,'Modelos de TES'!$K$3))/((1+'Modelos de TES'!$I$3)^('Base de datos '!D8/365))</f>
        <v>#NUM!</v>
      </c>
      <c r="F8" s="23" t="e">
        <f>IF('Modelos de TES'!$J$3&gt;='Base de datos '!B8,'Base de datos '!E8,0)</f>
        <v>#NUM!</v>
      </c>
    </row>
    <row r="9" spans="1:8" x14ac:dyDescent="0.3">
      <c r="A9" s="3"/>
      <c r="B9" s="19">
        <v>7</v>
      </c>
      <c r="C9" s="20" t="e">
        <f t="shared" si="0"/>
        <v>#NUM!</v>
      </c>
      <c r="D9" s="21" t="e">
        <f t="shared" si="1"/>
        <v>#NUM!</v>
      </c>
      <c r="E9" s="22" t="e">
        <f>(IF('Modelos de TES'!$J$3='Base de datos '!B9,'Modelos de TES'!$K$3+'Modelos de TES'!$G$3,'Modelos de TES'!$K$3))/((1+'Modelos de TES'!$I$3)^('Base de datos '!D9/365))</f>
        <v>#NUM!</v>
      </c>
      <c r="F9" s="23" t="e">
        <f>IF('Modelos de TES'!$J$3&gt;='Base de datos '!B9,'Base de datos '!E9,0)</f>
        <v>#NUM!</v>
      </c>
    </row>
    <row r="10" spans="1:8" x14ac:dyDescent="0.3">
      <c r="A10" s="3"/>
      <c r="B10" s="19">
        <v>8</v>
      </c>
      <c r="C10" s="20" t="e">
        <f t="shared" si="0"/>
        <v>#NUM!</v>
      </c>
      <c r="D10" s="21" t="e">
        <f t="shared" si="1"/>
        <v>#NUM!</v>
      </c>
      <c r="E10" s="22" t="e">
        <f>(IF('Modelos de TES'!$J$3='Base de datos '!B10,'Modelos de TES'!$K$3+'Modelos de TES'!$G$3,'Modelos de TES'!$K$3))/((1+'Modelos de TES'!$I$3)^('Base de datos '!D10/365))</f>
        <v>#NUM!</v>
      </c>
      <c r="F10" s="24" t="e">
        <f>IF('Modelos de TES'!$J$3&gt;='Base de datos '!B10,'Base de datos '!E10,0)</f>
        <v>#NUM!</v>
      </c>
    </row>
    <row r="11" spans="1:8" x14ac:dyDescent="0.3">
      <c r="A11" s="36"/>
      <c r="B11" s="19">
        <v>9</v>
      </c>
      <c r="C11" s="20" t="e">
        <f t="shared" si="0"/>
        <v>#NUM!</v>
      </c>
      <c r="D11" s="21" t="e">
        <f t="shared" si="1"/>
        <v>#NUM!</v>
      </c>
      <c r="E11" s="22" t="e">
        <f>(IF('Modelos de TES'!$J$3='Base de datos '!B11,'Modelos de TES'!$K$3+'Modelos de TES'!$G$3,'Modelos de TES'!$K$3))/((1+'Modelos de TES'!$I$3)^('Base de datos '!D11/365))</f>
        <v>#NUM!</v>
      </c>
      <c r="F11" s="24" t="e">
        <f>IF('Modelos de TES'!$J$3&gt;='Base de datos '!B11,'Base de datos '!E11,0)</f>
        <v>#NUM!</v>
      </c>
    </row>
    <row r="12" spans="1:8" x14ac:dyDescent="0.3">
      <c r="A12" s="3"/>
      <c r="B12" s="19">
        <v>10</v>
      </c>
      <c r="C12" s="20" t="e">
        <f t="shared" si="0"/>
        <v>#NUM!</v>
      </c>
      <c r="D12" s="21" t="e">
        <f t="shared" si="1"/>
        <v>#NUM!</v>
      </c>
      <c r="E12" s="22" t="e">
        <f>(IF('Modelos de TES'!$J$3='Base de datos '!B12,'Modelos de TES'!$K$3+'Modelos de TES'!$G$3,'Modelos de TES'!$K$3))/((1+'Modelos de TES'!$I$3)^('Base de datos '!D12/365))</f>
        <v>#NUM!</v>
      </c>
      <c r="F12" s="24" t="e">
        <f>IF('Modelos de TES'!$J$3&gt;='Base de datos '!B12,'Base de datos '!E12,0)</f>
        <v>#NUM!</v>
      </c>
    </row>
    <row r="13" spans="1:8" x14ac:dyDescent="0.3">
      <c r="A13" s="3"/>
      <c r="B13" s="19">
        <f>B12+1</f>
        <v>11</v>
      </c>
      <c r="C13" s="20" t="e">
        <f t="shared" ref="C13:C76" si="2">COUPNCD(C12,$A$2,1,3)</f>
        <v>#NUM!</v>
      </c>
      <c r="D13" s="21" t="e">
        <f t="shared" si="1"/>
        <v>#NUM!</v>
      </c>
      <c r="E13" s="22" t="e">
        <f>(IF('Modelos de TES'!$J$3='Base de datos '!B13,'Modelos de TES'!$K$3+'Modelos de TES'!$G$3,'Modelos de TES'!$K$3))/((1+'Modelos de TES'!$I$3)^('Base de datos '!D13/365))</f>
        <v>#NUM!</v>
      </c>
      <c r="F13" s="24" t="e">
        <f>IF('Modelos de TES'!$J$3&gt;='Base de datos '!B13,'Base de datos '!E13,0)</f>
        <v>#NUM!</v>
      </c>
    </row>
    <row r="14" spans="1:8" x14ac:dyDescent="0.3">
      <c r="A14" s="3"/>
      <c r="B14" s="19">
        <f t="shared" ref="B14:B77" si="3">B13+1</f>
        <v>12</v>
      </c>
      <c r="C14" s="20" t="e">
        <f t="shared" si="2"/>
        <v>#NUM!</v>
      </c>
      <c r="D14" s="21" t="e">
        <f t="shared" si="1"/>
        <v>#NUM!</v>
      </c>
      <c r="E14" s="22" t="e">
        <f>(IF('Modelos de TES'!$J$3='Base de datos '!B14,'Modelos de TES'!$K$3+'Modelos de TES'!$G$3,'Modelos de TES'!$K$3))/((1+'Modelos de TES'!$I$3)^('Base de datos '!D14/365))</f>
        <v>#NUM!</v>
      </c>
      <c r="F14" s="24" t="e">
        <f>IF('Modelos de TES'!$J$3&gt;='Base de datos '!B14,'Base de datos '!E14,0)</f>
        <v>#NUM!</v>
      </c>
    </row>
    <row r="15" spans="1:8" x14ac:dyDescent="0.3">
      <c r="A15" s="3"/>
      <c r="B15" s="19">
        <f t="shared" si="3"/>
        <v>13</v>
      </c>
      <c r="C15" s="20" t="e">
        <f t="shared" si="2"/>
        <v>#NUM!</v>
      </c>
      <c r="D15" s="21" t="e">
        <f t="shared" si="1"/>
        <v>#NUM!</v>
      </c>
      <c r="E15" s="22" t="e">
        <f>(IF('Modelos de TES'!$J$3='Base de datos '!B15,'Modelos de TES'!$K$3+'Modelos de TES'!$G$3,'Modelos de TES'!$K$3))/((1+'Modelos de TES'!$I$3)^('Base de datos '!D15/365))</f>
        <v>#NUM!</v>
      </c>
      <c r="F15" s="24" t="e">
        <f>IF('Modelos de TES'!$J$3&gt;='Base de datos '!B15,'Base de datos '!E15,0)</f>
        <v>#NUM!</v>
      </c>
    </row>
    <row r="16" spans="1:8" x14ac:dyDescent="0.3">
      <c r="A16" s="3"/>
      <c r="B16" s="19">
        <f t="shared" si="3"/>
        <v>14</v>
      </c>
      <c r="C16" s="20" t="e">
        <f t="shared" si="2"/>
        <v>#NUM!</v>
      </c>
      <c r="D16" s="21" t="e">
        <f t="shared" si="1"/>
        <v>#NUM!</v>
      </c>
      <c r="E16" s="22" t="e">
        <f>(IF('Modelos de TES'!$J$3='Base de datos '!B16,'Modelos de TES'!$K$3+'Modelos de TES'!$G$3,'Modelos de TES'!$K$3))/((1+'Modelos de TES'!$I$3)^('Base de datos '!D16/365))</f>
        <v>#NUM!</v>
      </c>
      <c r="F16" s="24" t="e">
        <f>IF('Modelos de TES'!$J$3&gt;='Base de datos '!B16,'Base de datos '!E16,0)</f>
        <v>#NUM!</v>
      </c>
    </row>
    <row r="17" spans="1:7" x14ac:dyDescent="0.3">
      <c r="A17" s="3"/>
      <c r="B17" s="19">
        <f t="shared" si="3"/>
        <v>15</v>
      </c>
      <c r="C17" s="20" t="e">
        <f t="shared" si="2"/>
        <v>#NUM!</v>
      </c>
      <c r="D17" s="21" t="e">
        <f t="shared" si="1"/>
        <v>#NUM!</v>
      </c>
      <c r="E17" s="22" t="e">
        <f>(IF('Modelos de TES'!$J$3='Base de datos '!B17,'Modelos de TES'!$K$3+'Modelos de TES'!$G$3,'Modelos de TES'!$K$3))/((1+'Modelos de TES'!$I$3)^('Base de datos '!D17/365))</f>
        <v>#NUM!</v>
      </c>
      <c r="F17" s="24" t="e">
        <f>IF('Modelos de TES'!$J$3&gt;='Base de datos '!B17,'Base de datos '!E17,0)</f>
        <v>#NUM!</v>
      </c>
      <c r="G17" s="4"/>
    </row>
    <row r="18" spans="1:7" x14ac:dyDescent="0.3">
      <c r="A18" s="3"/>
      <c r="B18" s="19">
        <f t="shared" si="3"/>
        <v>16</v>
      </c>
      <c r="C18" s="20" t="e">
        <f t="shared" si="2"/>
        <v>#NUM!</v>
      </c>
      <c r="D18" s="21" t="e">
        <f t="shared" si="1"/>
        <v>#NUM!</v>
      </c>
      <c r="E18" s="22" t="e">
        <f>(IF('Modelos de TES'!$J$3='Base de datos '!B18,'Modelos de TES'!$K$3+'Modelos de TES'!$G$3,'Modelos de TES'!$K$3))/((1+'Modelos de TES'!$I$3)^('Base de datos '!D18/365))</f>
        <v>#NUM!</v>
      </c>
      <c r="F18" s="24" t="e">
        <f>IF('Modelos de TES'!$J$3&gt;='Base de datos '!B18,'Base de datos '!E18,0)</f>
        <v>#NUM!</v>
      </c>
    </row>
    <row r="19" spans="1:7" x14ac:dyDescent="0.3">
      <c r="A19" s="3"/>
      <c r="B19" s="19">
        <f t="shared" si="3"/>
        <v>17</v>
      </c>
      <c r="C19" s="20" t="e">
        <f t="shared" si="2"/>
        <v>#NUM!</v>
      </c>
      <c r="D19" s="21" t="e">
        <f t="shared" si="1"/>
        <v>#NUM!</v>
      </c>
      <c r="E19" s="22" t="e">
        <f>(IF('Modelos de TES'!$J$3='Base de datos '!B19,'Modelos de TES'!$K$3+'Modelos de TES'!$G$3,'Modelos de TES'!$K$3))/((1+'Modelos de TES'!$I$3)^('Base de datos '!D19/365))</f>
        <v>#NUM!</v>
      </c>
      <c r="F19" s="24" t="e">
        <f>IF('Modelos de TES'!$J$3&gt;='Base de datos '!B19,'Base de datos '!E19,0)</f>
        <v>#NUM!</v>
      </c>
    </row>
    <row r="20" spans="1:7" x14ac:dyDescent="0.3">
      <c r="A20" s="3"/>
      <c r="B20" s="19">
        <f t="shared" si="3"/>
        <v>18</v>
      </c>
      <c r="C20" s="20" t="e">
        <f t="shared" si="2"/>
        <v>#NUM!</v>
      </c>
      <c r="D20" s="21" t="e">
        <f t="shared" si="1"/>
        <v>#NUM!</v>
      </c>
      <c r="E20" s="22" t="e">
        <f>(IF('Modelos de TES'!$J$3='Base de datos '!B20,'Modelos de TES'!$K$3+'Modelos de TES'!$G$3,'Modelos de TES'!$K$3))/((1+'Modelos de TES'!$I$3)^('Base de datos '!D20/365))</f>
        <v>#NUM!</v>
      </c>
      <c r="F20" s="24" t="e">
        <f>IF('Modelos de TES'!$J$3&gt;='Base de datos '!B20,'Base de datos '!E20,0)</f>
        <v>#NUM!</v>
      </c>
    </row>
    <row r="21" spans="1:7" x14ac:dyDescent="0.3">
      <c r="A21" s="3"/>
      <c r="B21" s="19">
        <f t="shared" si="3"/>
        <v>19</v>
      </c>
      <c r="C21" s="20" t="e">
        <f t="shared" si="2"/>
        <v>#NUM!</v>
      </c>
      <c r="D21" s="21" t="e">
        <f t="shared" si="1"/>
        <v>#NUM!</v>
      </c>
      <c r="E21" s="22" t="e">
        <f>(IF('Modelos de TES'!$J$3='Base de datos '!B21,'Modelos de TES'!$K$3+'Modelos de TES'!$G$3,'Modelos de TES'!$K$3))/((1+'Modelos de TES'!$I$3)^('Base de datos '!D21/365))</f>
        <v>#NUM!</v>
      </c>
      <c r="F21" s="24" t="e">
        <f>IF('Modelos de TES'!$J$3&gt;='Base de datos '!B21,'Base de datos '!E21,0)</f>
        <v>#NUM!</v>
      </c>
    </row>
    <row r="22" spans="1:7" x14ac:dyDescent="0.3">
      <c r="A22" s="3"/>
      <c r="B22" s="19">
        <f t="shared" si="3"/>
        <v>20</v>
      </c>
      <c r="C22" s="20" t="e">
        <f t="shared" si="2"/>
        <v>#NUM!</v>
      </c>
      <c r="D22" s="21" t="e">
        <f t="shared" si="1"/>
        <v>#NUM!</v>
      </c>
      <c r="E22" s="22" t="e">
        <f>(IF('Modelos de TES'!$J$3='Base de datos '!B22,'Modelos de TES'!$K$3+'Modelos de TES'!$G$3,'Modelos de TES'!$K$3))/((1+'Modelos de TES'!$I$3)^('Base de datos '!D22/365))</f>
        <v>#NUM!</v>
      </c>
      <c r="F22" s="24" t="e">
        <f>IF('Modelos de TES'!$J$3&gt;='Base de datos '!B22,'Base de datos '!E22,0)</f>
        <v>#NUM!</v>
      </c>
    </row>
    <row r="23" spans="1:7" x14ac:dyDescent="0.3">
      <c r="A23" s="3"/>
      <c r="B23" s="19">
        <f t="shared" si="3"/>
        <v>21</v>
      </c>
      <c r="C23" s="20" t="e">
        <f t="shared" si="2"/>
        <v>#NUM!</v>
      </c>
      <c r="D23" s="21" t="e">
        <f t="shared" si="1"/>
        <v>#NUM!</v>
      </c>
      <c r="E23" s="22" t="e">
        <f>(IF('Modelos de TES'!$J$3='Base de datos '!B23,'Modelos de TES'!$K$3+'Modelos de TES'!$G$3,'Modelos de TES'!$K$3))/((1+'Modelos de TES'!$I$3)^('Base de datos '!D23/365))</f>
        <v>#NUM!</v>
      </c>
      <c r="F23" s="24" t="e">
        <f>IF('Modelos de TES'!$J$3&gt;='Base de datos '!B23,'Base de datos '!E23,0)</f>
        <v>#NUM!</v>
      </c>
    </row>
    <row r="24" spans="1:7" x14ac:dyDescent="0.3">
      <c r="B24" s="19">
        <f t="shared" si="3"/>
        <v>22</v>
      </c>
      <c r="C24" s="20" t="e">
        <f t="shared" si="2"/>
        <v>#NUM!</v>
      </c>
      <c r="D24" s="21" t="e">
        <f t="shared" si="1"/>
        <v>#NUM!</v>
      </c>
      <c r="E24" s="22" t="e">
        <f>(IF('Modelos de TES'!$J$3='Base de datos '!B24,'Modelos de TES'!$K$3+'Modelos de TES'!$G$3,'Modelos de TES'!$K$3))/((1+'Modelos de TES'!$I$3)^('Base de datos '!D24/365))</f>
        <v>#NUM!</v>
      </c>
      <c r="F24" s="24" t="e">
        <f>IF('Modelos de TES'!$J$3&gt;='Base de datos '!B24,'Base de datos '!E24,0)</f>
        <v>#NUM!</v>
      </c>
    </row>
    <row r="25" spans="1:7" x14ac:dyDescent="0.3">
      <c r="B25" s="19">
        <f t="shared" si="3"/>
        <v>23</v>
      </c>
      <c r="C25" s="20" t="e">
        <f t="shared" si="2"/>
        <v>#NUM!</v>
      </c>
      <c r="D25" s="21" t="e">
        <f t="shared" si="1"/>
        <v>#NUM!</v>
      </c>
      <c r="E25" s="22" t="e">
        <f>(IF('Modelos de TES'!$J$3='Base de datos '!B25,'Modelos de TES'!$K$3+'Modelos de TES'!$G$3,'Modelos de TES'!$K$3))/((1+'Modelos de TES'!$I$3)^('Base de datos '!D25/365))</f>
        <v>#NUM!</v>
      </c>
      <c r="F25" s="24" t="e">
        <f>IF('Modelos de TES'!$J$3&gt;='Base de datos '!B25,'Base de datos '!E25,0)</f>
        <v>#NUM!</v>
      </c>
    </row>
    <row r="26" spans="1:7" x14ac:dyDescent="0.3">
      <c r="B26" s="19">
        <f t="shared" si="3"/>
        <v>24</v>
      </c>
      <c r="C26" s="20" t="e">
        <f t="shared" si="2"/>
        <v>#NUM!</v>
      </c>
      <c r="D26" s="21" t="e">
        <f t="shared" si="1"/>
        <v>#NUM!</v>
      </c>
      <c r="E26" s="22" t="e">
        <f>(IF('Modelos de TES'!$J$3='Base de datos '!B26,'Modelos de TES'!$K$3+'Modelos de TES'!$G$3,'Modelos de TES'!$K$3))/((1+'Modelos de TES'!$I$3)^('Base de datos '!D26/365))</f>
        <v>#NUM!</v>
      </c>
      <c r="F26" s="24" t="e">
        <f>IF('Modelos de TES'!$J$3&gt;='Base de datos '!B26,'Base de datos '!E26,0)</f>
        <v>#NUM!</v>
      </c>
    </row>
    <row r="27" spans="1:7" x14ac:dyDescent="0.3">
      <c r="B27" s="19">
        <f t="shared" si="3"/>
        <v>25</v>
      </c>
      <c r="C27" s="20" t="e">
        <f t="shared" si="2"/>
        <v>#NUM!</v>
      </c>
      <c r="D27" s="21" t="e">
        <f t="shared" si="1"/>
        <v>#NUM!</v>
      </c>
      <c r="E27" s="22" t="e">
        <f>(IF('Modelos de TES'!$J$3='Base de datos '!B27,'Modelos de TES'!$K$3+'Modelos de TES'!$G$3,'Modelos de TES'!$K$3))/((1+'Modelos de TES'!$I$3)^('Base de datos '!D27/365))</f>
        <v>#NUM!</v>
      </c>
      <c r="F27" s="24" t="e">
        <f>IF('Modelos de TES'!$J$3&gt;='Base de datos '!B27,'Base de datos '!E27,0)</f>
        <v>#NUM!</v>
      </c>
    </row>
    <row r="28" spans="1:7" x14ac:dyDescent="0.3">
      <c r="B28" s="19">
        <f t="shared" si="3"/>
        <v>26</v>
      </c>
      <c r="C28" s="20" t="e">
        <f t="shared" si="2"/>
        <v>#NUM!</v>
      </c>
      <c r="D28" s="21" t="e">
        <f t="shared" si="1"/>
        <v>#NUM!</v>
      </c>
      <c r="E28" s="22" t="e">
        <f>(IF('Modelos de TES'!$J$3='Base de datos '!B28,'Modelos de TES'!$K$3+'Modelos de TES'!$G$3,'Modelos de TES'!$K$3))/((1+'Modelos de TES'!$I$3)^('Base de datos '!D28/365))</f>
        <v>#NUM!</v>
      </c>
      <c r="F28" s="24" t="e">
        <f>IF('Modelos de TES'!$J$3&gt;='Base de datos '!B28,'Base de datos '!E28,0)</f>
        <v>#NUM!</v>
      </c>
    </row>
    <row r="29" spans="1:7" x14ac:dyDescent="0.3">
      <c r="B29" s="19">
        <f t="shared" si="3"/>
        <v>27</v>
      </c>
      <c r="C29" s="20" t="e">
        <f t="shared" si="2"/>
        <v>#NUM!</v>
      </c>
      <c r="D29" s="21" t="e">
        <f t="shared" si="1"/>
        <v>#NUM!</v>
      </c>
      <c r="E29" s="22" t="e">
        <f>(IF('Modelos de TES'!$J$3='Base de datos '!B29,'Modelos de TES'!$K$3+'Modelos de TES'!$G$3,'Modelos de TES'!$K$3))/((1+'Modelos de TES'!$I$3)^('Base de datos '!D29/365))</f>
        <v>#NUM!</v>
      </c>
      <c r="F29" s="24" t="e">
        <f>IF('Modelos de TES'!$J$3&gt;='Base de datos '!B29,'Base de datos '!E29,0)</f>
        <v>#NUM!</v>
      </c>
    </row>
    <row r="30" spans="1:7" x14ac:dyDescent="0.3">
      <c r="B30" s="19">
        <f t="shared" si="3"/>
        <v>28</v>
      </c>
      <c r="C30" s="20" t="e">
        <f t="shared" si="2"/>
        <v>#NUM!</v>
      </c>
      <c r="D30" s="21" t="e">
        <f t="shared" si="1"/>
        <v>#NUM!</v>
      </c>
      <c r="E30" s="22" t="e">
        <f>(IF('Modelos de TES'!$J$3='Base de datos '!B30,'Modelos de TES'!$K$3+'Modelos de TES'!$G$3,'Modelos de TES'!$K$3))/((1+'Modelos de TES'!$I$3)^('Base de datos '!D30/365))</f>
        <v>#NUM!</v>
      </c>
      <c r="F30" s="24" t="e">
        <f>IF('Modelos de TES'!$J$3&gt;='Base de datos '!B30,'Base de datos '!E30,0)</f>
        <v>#NUM!</v>
      </c>
    </row>
    <row r="31" spans="1:7" x14ac:dyDescent="0.3">
      <c r="B31" s="19">
        <f t="shared" si="3"/>
        <v>29</v>
      </c>
      <c r="C31" s="20" t="e">
        <f t="shared" si="2"/>
        <v>#NUM!</v>
      </c>
      <c r="D31" s="21" t="e">
        <f t="shared" si="1"/>
        <v>#NUM!</v>
      </c>
      <c r="E31" s="22" t="e">
        <f>(IF('Modelos de TES'!$J$3='Base de datos '!B31,'Modelos de TES'!$K$3+'Modelos de TES'!$G$3,'Modelos de TES'!$K$3))/((1+'Modelos de TES'!$I$3)^('Base de datos '!D31/365))</f>
        <v>#NUM!</v>
      </c>
      <c r="F31" s="24" t="e">
        <f>IF('Modelos de TES'!$J$3&gt;='Base de datos '!B31,'Base de datos '!E31,0)</f>
        <v>#NUM!</v>
      </c>
    </row>
    <row r="32" spans="1:7" x14ac:dyDescent="0.3">
      <c r="B32" s="19">
        <f t="shared" si="3"/>
        <v>30</v>
      </c>
      <c r="C32" s="20" t="e">
        <f t="shared" si="2"/>
        <v>#NUM!</v>
      </c>
      <c r="D32" s="21" t="e">
        <f t="shared" si="1"/>
        <v>#NUM!</v>
      </c>
      <c r="E32" s="22" t="e">
        <f>(IF('Modelos de TES'!$J$3='Base de datos '!B32,'Modelos de TES'!$K$3+'Modelos de TES'!$G$3,'Modelos de TES'!$K$3))/((1+'Modelos de TES'!$I$3)^('Base de datos '!D32/365))</f>
        <v>#NUM!</v>
      </c>
      <c r="F32" s="24" t="e">
        <f>IF('Modelos de TES'!$J$3&gt;='Base de datos '!B32,'Base de datos '!E32,0)</f>
        <v>#NUM!</v>
      </c>
    </row>
    <row r="33" spans="2:6" x14ac:dyDescent="0.3">
      <c r="B33" s="19">
        <f t="shared" si="3"/>
        <v>31</v>
      </c>
      <c r="C33" s="20" t="e">
        <f t="shared" si="2"/>
        <v>#NUM!</v>
      </c>
      <c r="D33" s="21" t="e">
        <f t="shared" si="1"/>
        <v>#NUM!</v>
      </c>
      <c r="E33" s="22" t="e">
        <f>(IF('Modelos de TES'!$J$3='Base de datos '!B33,'Modelos de TES'!$K$3+'Modelos de TES'!$G$3,'Modelos de TES'!$K$3))/((1+'Modelos de TES'!$I$3)^('Base de datos '!D33/365))</f>
        <v>#NUM!</v>
      </c>
      <c r="F33" s="24" t="e">
        <f>IF('Modelos de TES'!$J$3&gt;='Base de datos '!B33,'Base de datos '!E33,0)</f>
        <v>#NUM!</v>
      </c>
    </row>
    <row r="34" spans="2:6" x14ac:dyDescent="0.3">
      <c r="B34" s="19">
        <f t="shared" si="3"/>
        <v>32</v>
      </c>
      <c r="C34" s="20" t="e">
        <f t="shared" si="2"/>
        <v>#NUM!</v>
      </c>
      <c r="D34" s="21" t="e">
        <f t="shared" si="1"/>
        <v>#NUM!</v>
      </c>
      <c r="E34" s="22" t="e">
        <f>(IF('Modelos de TES'!$J$3='Base de datos '!B34,'Modelos de TES'!$K$3+'Modelos de TES'!$G$3,'Modelos de TES'!$K$3))/((1+'Modelos de TES'!$I$3)^('Base de datos '!D34/365))</f>
        <v>#NUM!</v>
      </c>
      <c r="F34" s="24" t="e">
        <f>IF('Modelos de TES'!$J$3&gt;='Base de datos '!B34,'Base de datos '!E34,0)</f>
        <v>#NUM!</v>
      </c>
    </row>
    <row r="35" spans="2:6" x14ac:dyDescent="0.3">
      <c r="B35" s="19">
        <f t="shared" si="3"/>
        <v>33</v>
      </c>
      <c r="C35" s="20" t="e">
        <f t="shared" si="2"/>
        <v>#NUM!</v>
      </c>
      <c r="D35" s="21" t="e">
        <f t="shared" si="1"/>
        <v>#NUM!</v>
      </c>
      <c r="E35" s="22" t="e">
        <f>(IF('Modelos de TES'!$J$3='Base de datos '!B35,'Modelos de TES'!$K$3+'Modelos de TES'!$G$3,'Modelos de TES'!$K$3))/((1+'Modelos de TES'!$I$3)^('Base de datos '!D35/365))</f>
        <v>#NUM!</v>
      </c>
      <c r="F35" s="24" t="e">
        <f>IF('Modelos de TES'!$J$3&gt;='Base de datos '!B35,'Base de datos '!E35,0)</f>
        <v>#NUM!</v>
      </c>
    </row>
    <row r="36" spans="2:6" x14ac:dyDescent="0.3">
      <c r="B36" s="19">
        <f t="shared" si="3"/>
        <v>34</v>
      </c>
      <c r="C36" s="20" t="e">
        <f t="shared" si="2"/>
        <v>#NUM!</v>
      </c>
      <c r="D36" s="21" t="e">
        <f t="shared" si="1"/>
        <v>#NUM!</v>
      </c>
      <c r="E36" s="22" t="e">
        <f>(IF('Modelos de TES'!$J$3='Base de datos '!B36,'Modelos de TES'!$K$3+'Modelos de TES'!$G$3,'Modelos de TES'!$K$3))/((1+'Modelos de TES'!$I$3)^('Base de datos '!D36/365))</f>
        <v>#NUM!</v>
      </c>
      <c r="F36" s="24" t="e">
        <f>IF('Modelos de TES'!$J$3&gt;='Base de datos '!B36,'Base de datos '!E36,0)</f>
        <v>#NUM!</v>
      </c>
    </row>
    <row r="37" spans="2:6" x14ac:dyDescent="0.3">
      <c r="B37" s="19">
        <f t="shared" si="3"/>
        <v>35</v>
      </c>
      <c r="C37" s="20" t="e">
        <f t="shared" si="2"/>
        <v>#NUM!</v>
      </c>
      <c r="D37" s="21" t="e">
        <f t="shared" si="1"/>
        <v>#NUM!</v>
      </c>
      <c r="E37" s="22" t="e">
        <f>(IF('Modelos de TES'!$J$3='Base de datos '!B37,'Modelos de TES'!$K$3+'Modelos de TES'!$G$3,'Modelos de TES'!$K$3))/((1+'Modelos de TES'!$I$3)^('Base de datos '!D37/365))</f>
        <v>#NUM!</v>
      </c>
      <c r="F37" s="24" t="e">
        <f>IF('Modelos de TES'!$J$3&gt;='Base de datos '!B37,'Base de datos '!E37,0)</f>
        <v>#NUM!</v>
      </c>
    </row>
    <row r="38" spans="2:6" x14ac:dyDescent="0.3">
      <c r="B38" s="19">
        <f t="shared" si="3"/>
        <v>36</v>
      </c>
      <c r="C38" s="20" t="e">
        <f t="shared" si="2"/>
        <v>#NUM!</v>
      </c>
      <c r="D38" s="21" t="e">
        <f t="shared" si="1"/>
        <v>#NUM!</v>
      </c>
      <c r="E38" s="22" t="e">
        <f>(IF('Modelos de TES'!$J$3='Base de datos '!B38,'Modelos de TES'!$K$3+'Modelos de TES'!$G$3,'Modelos de TES'!$K$3))/((1+'Modelos de TES'!$I$3)^('Base de datos '!D38/365))</f>
        <v>#NUM!</v>
      </c>
      <c r="F38" s="24" t="e">
        <f>IF('Modelos de TES'!$J$3&gt;='Base de datos '!B38,'Base de datos '!E38,0)</f>
        <v>#NUM!</v>
      </c>
    </row>
    <row r="39" spans="2:6" x14ac:dyDescent="0.3">
      <c r="B39" s="19">
        <f t="shared" si="3"/>
        <v>37</v>
      </c>
      <c r="C39" s="20" t="e">
        <f t="shared" si="2"/>
        <v>#NUM!</v>
      </c>
      <c r="D39" s="21" t="e">
        <f t="shared" si="1"/>
        <v>#NUM!</v>
      </c>
      <c r="E39" s="22" t="e">
        <f>(IF('Modelos de TES'!$J$3='Base de datos '!B39,'Modelos de TES'!$K$3+'Modelos de TES'!$G$3,'Modelos de TES'!$K$3))/((1+'Modelos de TES'!$I$3)^('Base de datos '!D39/365))</f>
        <v>#NUM!</v>
      </c>
      <c r="F39" s="24" t="e">
        <f>IF('Modelos de TES'!$J$3&gt;='Base de datos '!B39,'Base de datos '!E39,0)</f>
        <v>#NUM!</v>
      </c>
    </row>
    <row r="40" spans="2:6" x14ac:dyDescent="0.3">
      <c r="B40" s="19">
        <f t="shared" si="3"/>
        <v>38</v>
      </c>
      <c r="C40" s="20" t="e">
        <f t="shared" si="2"/>
        <v>#NUM!</v>
      </c>
      <c r="D40" s="21" t="e">
        <f t="shared" si="1"/>
        <v>#NUM!</v>
      </c>
      <c r="E40" s="22" t="e">
        <f>(IF('Modelos de TES'!$J$3='Base de datos '!B40,'Modelos de TES'!$K$3+'Modelos de TES'!$G$3,'Modelos de TES'!$K$3))/((1+'Modelos de TES'!$I$3)^('Base de datos '!D40/365))</f>
        <v>#NUM!</v>
      </c>
      <c r="F40" s="24" t="e">
        <f>IF('Modelos de TES'!$J$3&gt;='Base de datos '!B40,'Base de datos '!E40,0)</f>
        <v>#NUM!</v>
      </c>
    </row>
    <row r="41" spans="2:6" x14ac:dyDescent="0.3">
      <c r="B41" s="19">
        <f t="shared" si="3"/>
        <v>39</v>
      </c>
      <c r="C41" s="20" t="e">
        <f t="shared" si="2"/>
        <v>#NUM!</v>
      </c>
      <c r="D41" s="21" t="e">
        <f t="shared" si="1"/>
        <v>#NUM!</v>
      </c>
      <c r="E41" s="22" t="e">
        <f>(IF('Modelos de TES'!$J$3='Base de datos '!B41,'Modelos de TES'!$K$3+'Modelos de TES'!$G$3,'Modelos de TES'!$K$3))/((1+'Modelos de TES'!$I$3)^('Base de datos '!D41/365))</f>
        <v>#NUM!</v>
      </c>
      <c r="F41" s="24" t="e">
        <f>IF('Modelos de TES'!$J$3&gt;='Base de datos '!B41,'Base de datos '!E41,0)</f>
        <v>#NUM!</v>
      </c>
    </row>
    <row r="42" spans="2:6" x14ac:dyDescent="0.3">
      <c r="B42" s="19">
        <f t="shared" si="3"/>
        <v>40</v>
      </c>
      <c r="C42" s="20" t="e">
        <f t="shared" si="2"/>
        <v>#NUM!</v>
      </c>
      <c r="D42" s="21" t="e">
        <f t="shared" si="1"/>
        <v>#NUM!</v>
      </c>
      <c r="E42" s="22" t="e">
        <f>(IF('Modelos de TES'!$J$3='Base de datos '!B42,'Modelos de TES'!$K$3+'Modelos de TES'!$G$3,'Modelos de TES'!$K$3))/((1+'Modelos de TES'!$I$3)^('Base de datos '!D42/365))</f>
        <v>#NUM!</v>
      </c>
      <c r="F42" s="24" t="e">
        <f>IF('Modelos de TES'!$J$3&gt;='Base de datos '!B42,'Base de datos '!E42,0)</f>
        <v>#NUM!</v>
      </c>
    </row>
    <row r="43" spans="2:6" x14ac:dyDescent="0.3">
      <c r="B43" s="19">
        <f t="shared" si="3"/>
        <v>41</v>
      </c>
      <c r="C43" s="20" t="e">
        <f t="shared" si="2"/>
        <v>#NUM!</v>
      </c>
      <c r="D43" s="21" t="e">
        <f t="shared" si="1"/>
        <v>#NUM!</v>
      </c>
      <c r="E43" s="22" t="e">
        <f>(IF('Modelos de TES'!$J$3='Base de datos '!B43,'Modelos de TES'!$K$3+'Modelos de TES'!$G$3,'Modelos de TES'!$K$3))/((1+'Modelos de TES'!$I$3)^('Base de datos '!D43/365))</f>
        <v>#NUM!</v>
      </c>
      <c r="F43" s="24" t="e">
        <f>IF('Modelos de TES'!$J$3&gt;='Base de datos '!B43,'Base de datos '!E43,0)</f>
        <v>#NUM!</v>
      </c>
    </row>
    <row r="44" spans="2:6" x14ac:dyDescent="0.3">
      <c r="B44" s="19">
        <f t="shared" si="3"/>
        <v>42</v>
      </c>
      <c r="C44" s="20" t="e">
        <f t="shared" si="2"/>
        <v>#NUM!</v>
      </c>
      <c r="D44" s="21" t="e">
        <f t="shared" si="1"/>
        <v>#NUM!</v>
      </c>
      <c r="E44" s="22" t="e">
        <f>(IF('Modelos de TES'!$J$3='Base de datos '!B44,'Modelos de TES'!$K$3+'Modelos de TES'!$G$3,'Modelos de TES'!$K$3))/((1+'Modelos de TES'!$I$3)^('Base de datos '!D44/365))</f>
        <v>#NUM!</v>
      </c>
      <c r="F44" s="24" t="e">
        <f>IF('Modelos de TES'!$J$3&gt;='Base de datos '!B44,'Base de datos '!E44,0)</f>
        <v>#NUM!</v>
      </c>
    </row>
    <row r="45" spans="2:6" x14ac:dyDescent="0.3">
      <c r="B45" s="19">
        <f t="shared" si="3"/>
        <v>43</v>
      </c>
      <c r="C45" s="20" t="e">
        <f t="shared" si="2"/>
        <v>#NUM!</v>
      </c>
      <c r="D45" s="21" t="e">
        <f t="shared" si="1"/>
        <v>#NUM!</v>
      </c>
      <c r="E45" s="22" t="e">
        <f>(IF('Modelos de TES'!$J$3='Base de datos '!B45,'Modelos de TES'!$K$3+'Modelos de TES'!$G$3,'Modelos de TES'!$K$3))/((1+'Modelos de TES'!$I$3)^('Base de datos '!D45/365))</f>
        <v>#NUM!</v>
      </c>
      <c r="F45" s="24" t="e">
        <f>IF('Modelos de TES'!$J$3&gt;='Base de datos '!B45,'Base de datos '!E45,0)</f>
        <v>#NUM!</v>
      </c>
    </row>
    <row r="46" spans="2:6" x14ac:dyDescent="0.3">
      <c r="B46" s="19">
        <f t="shared" si="3"/>
        <v>44</v>
      </c>
      <c r="C46" s="20" t="e">
        <f t="shared" si="2"/>
        <v>#NUM!</v>
      </c>
      <c r="D46" s="21" t="e">
        <f t="shared" si="1"/>
        <v>#NUM!</v>
      </c>
      <c r="E46" s="22" t="e">
        <f>(IF('Modelos de TES'!$J$3='Base de datos '!B46,'Modelos de TES'!$K$3+'Modelos de TES'!$G$3,'Modelos de TES'!$K$3))/((1+'Modelos de TES'!$I$3)^('Base de datos '!D46/365))</f>
        <v>#NUM!</v>
      </c>
      <c r="F46" s="24" t="e">
        <f>IF('Modelos de TES'!$J$3&gt;='Base de datos '!B46,'Base de datos '!E46,0)</f>
        <v>#NUM!</v>
      </c>
    </row>
    <row r="47" spans="2:6" x14ac:dyDescent="0.3">
      <c r="B47" s="19">
        <f t="shared" si="3"/>
        <v>45</v>
      </c>
      <c r="C47" s="20" t="e">
        <f t="shared" si="2"/>
        <v>#NUM!</v>
      </c>
      <c r="D47" s="21" t="e">
        <f t="shared" si="1"/>
        <v>#NUM!</v>
      </c>
      <c r="E47" s="22" t="e">
        <f>(IF('Modelos de TES'!$J$3='Base de datos '!B47,'Modelos de TES'!$K$3+'Modelos de TES'!$G$3,'Modelos de TES'!$K$3))/((1+'Modelos de TES'!$I$3)^('Base de datos '!D47/365))</f>
        <v>#NUM!</v>
      </c>
      <c r="F47" s="24" t="e">
        <f>IF('Modelos de TES'!$J$3&gt;='Base de datos '!B47,'Base de datos '!E47,0)</f>
        <v>#NUM!</v>
      </c>
    </row>
    <row r="48" spans="2:6" x14ac:dyDescent="0.3">
      <c r="B48" s="19">
        <f t="shared" si="3"/>
        <v>46</v>
      </c>
      <c r="C48" s="20" t="e">
        <f t="shared" si="2"/>
        <v>#NUM!</v>
      </c>
      <c r="D48" s="21" t="e">
        <f t="shared" si="1"/>
        <v>#NUM!</v>
      </c>
      <c r="E48" s="22" t="e">
        <f>(IF('Modelos de TES'!$J$3='Base de datos '!B48,'Modelos de TES'!$K$3+'Modelos de TES'!$G$3,'Modelos de TES'!$K$3))/((1+'Modelos de TES'!$I$3)^('Base de datos '!D48/365))</f>
        <v>#NUM!</v>
      </c>
      <c r="F48" s="24" t="e">
        <f>IF('Modelos de TES'!$J$3&gt;='Base de datos '!B48,'Base de datos '!E48,0)</f>
        <v>#NUM!</v>
      </c>
    </row>
    <row r="49" spans="2:6" x14ac:dyDescent="0.3">
      <c r="B49" s="19">
        <f t="shared" si="3"/>
        <v>47</v>
      </c>
      <c r="C49" s="20" t="e">
        <f t="shared" si="2"/>
        <v>#NUM!</v>
      </c>
      <c r="D49" s="21" t="e">
        <f t="shared" si="1"/>
        <v>#NUM!</v>
      </c>
      <c r="E49" s="22" t="e">
        <f>(IF('Modelos de TES'!$J$3='Base de datos '!B49,'Modelos de TES'!$K$3+'Modelos de TES'!$G$3,'Modelos de TES'!$K$3))/((1+'Modelos de TES'!$I$3)^('Base de datos '!D49/365))</f>
        <v>#NUM!</v>
      </c>
      <c r="F49" s="24" t="e">
        <f>IF('Modelos de TES'!$J$3&gt;='Base de datos '!B49,'Base de datos '!E49,0)</f>
        <v>#NUM!</v>
      </c>
    </row>
    <row r="50" spans="2:6" x14ac:dyDescent="0.3">
      <c r="B50" s="19">
        <f t="shared" si="3"/>
        <v>48</v>
      </c>
      <c r="C50" s="20" t="e">
        <f t="shared" si="2"/>
        <v>#NUM!</v>
      </c>
      <c r="D50" s="21" t="e">
        <f t="shared" si="1"/>
        <v>#NUM!</v>
      </c>
      <c r="E50" s="22" t="e">
        <f>(IF('Modelos de TES'!$J$3='Base de datos '!B50,'Modelos de TES'!$K$3+'Modelos de TES'!$G$3,'Modelos de TES'!$K$3))/((1+'Modelos de TES'!$I$3)^('Base de datos '!D50/365))</f>
        <v>#NUM!</v>
      </c>
      <c r="F50" s="24" t="e">
        <f>IF('Modelos de TES'!$J$3&gt;='Base de datos '!B50,'Base de datos '!E50,0)</f>
        <v>#NUM!</v>
      </c>
    </row>
    <row r="51" spans="2:6" x14ac:dyDescent="0.3">
      <c r="B51" s="19">
        <f t="shared" si="3"/>
        <v>49</v>
      </c>
      <c r="C51" s="20" t="e">
        <f t="shared" si="2"/>
        <v>#NUM!</v>
      </c>
      <c r="D51" s="21" t="e">
        <f t="shared" si="1"/>
        <v>#NUM!</v>
      </c>
      <c r="E51" s="22" t="e">
        <f>(IF('Modelos de TES'!$J$3='Base de datos '!B51,'Modelos de TES'!$K$3+'Modelos de TES'!$G$3,'Modelos de TES'!$K$3))/((1+'Modelos de TES'!$I$3)^('Base de datos '!D51/365))</f>
        <v>#NUM!</v>
      </c>
      <c r="F51" s="24" t="e">
        <f>IF('Modelos de TES'!$J$3&gt;='Base de datos '!B51,'Base de datos '!E51,0)</f>
        <v>#NUM!</v>
      </c>
    </row>
    <row r="52" spans="2:6" x14ac:dyDescent="0.3">
      <c r="B52" s="19">
        <f t="shared" si="3"/>
        <v>50</v>
      </c>
      <c r="C52" s="20" t="e">
        <f t="shared" si="2"/>
        <v>#NUM!</v>
      </c>
      <c r="D52" s="21" t="e">
        <f t="shared" si="1"/>
        <v>#NUM!</v>
      </c>
      <c r="E52" s="22" t="e">
        <f>(IF('Modelos de TES'!$J$3='Base de datos '!B52,'Modelos de TES'!$K$3+'Modelos de TES'!$G$3,'Modelos de TES'!$K$3))/((1+'Modelos de TES'!$I$3)^('Base de datos '!D52/365))</f>
        <v>#NUM!</v>
      </c>
      <c r="F52" s="24" t="e">
        <f>IF('Modelos de TES'!$J$3&gt;='Base de datos '!B52,'Base de datos '!E52,0)</f>
        <v>#NUM!</v>
      </c>
    </row>
    <row r="53" spans="2:6" x14ac:dyDescent="0.3">
      <c r="B53" s="19">
        <f t="shared" si="3"/>
        <v>51</v>
      </c>
      <c r="C53" s="20" t="e">
        <f t="shared" si="2"/>
        <v>#NUM!</v>
      </c>
      <c r="D53" s="21" t="e">
        <f t="shared" si="1"/>
        <v>#NUM!</v>
      </c>
      <c r="E53" s="22" t="e">
        <f>(IF('Modelos de TES'!$J$3='Base de datos '!B53,'Modelos de TES'!$K$3+'Modelos de TES'!$G$3,'Modelos de TES'!$K$3))/((1+'Modelos de TES'!$I$3)^('Base de datos '!D53/365))</f>
        <v>#NUM!</v>
      </c>
      <c r="F53" s="24" t="e">
        <f>IF('Modelos de TES'!$J$3&gt;='Base de datos '!B53,'Base de datos '!E53,0)</f>
        <v>#NUM!</v>
      </c>
    </row>
    <row r="54" spans="2:6" x14ac:dyDescent="0.3">
      <c r="B54" s="19">
        <f t="shared" si="3"/>
        <v>52</v>
      </c>
      <c r="C54" s="20" t="e">
        <f t="shared" si="2"/>
        <v>#NUM!</v>
      </c>
      <c r="D54" s="21" t="e">
        <f t="shared" si="1"/>
        <v>#NUM!</v>
      </c>
      <c r="E54" s="22" t="e">
        <f>(IF('Modelos de TES'!$J$3='Base de datos '!B54,'Modelos de TES'!$K$3+'Modelos de TES'!$G$3,'Modelos de TES'!$K$3))/((1+'Modelos de TES'!$I$3)^('Base de datos '!D54/365))</f>
        <v>#NUM!</v>
      </c>
      <c r="F54" s="24" t="e">
        <f>IF('Modelos de TES'!$J$3&gt;='Base de datos '!B54,'Base de datos '!E54,0)</f>
        <v>#NUM!</v>
      </c>
    </row>
    <row r="55" spans="2:6" x14ac:dyDescent="0.3">
      <c r="B55" s="19">
        <f t="shared" si="3"/>
        <v>53</v>
      </c>
      <c r="C55" s="20" t="e">
        <f t="shared" si="2"/>
        <v>#NUM!</v>
      </c>
      <c r="D55" s="21" t="e">
        <f t="shared" si="1"/>
        <v>#NUM!</v>
      </c>
      <c r="E55" s="22" t="e">
        <f>(IF('Modelos de TES'!$J$3='Base de datos '!B55,'Modelos de TES'!$K$3+'Modelos de TES'!$G$3,'Modelos de TES'!$K$3))/((1+'Modelos de TES'!$I$3)^('Base de datos '!D55/365))</f>
        <v>#NUM!</v>
      </c>
      <c r="F55" s="24" t="e">
        <f>IF('Modelos de TES'!$J$3&gt;='Base de datos '!B55,'Base de datos '!E55,0)</f>
        <v>#NUM!</v>
      </c>
    </row>
    <row r="56" spans="2:6" x14ac:dyDescent="0.3">
      <c r="B56" s="19">
        <f t="shared" si="3"/>
        <v>54</v>
      </c>
      <c r="C56" s="20" t="e">
        <f t="shared" si="2"/>
        <v>#NUM!</v>
      </c>
      <c r="D56" s="21" t="e">
        <f t="shared" si="1"/>
        <v>#NUM!</v>
      </c>
      <c r="E56" s="22" t="e">
        <f>(IF('Modelos de TES'!$J$3='Base de datos '!B56,'Modelos de TES'!$K$3+'Modelos de TES'!$G$3,'Modelos de TES'!$K$3))/((1+'Modelos de TES'!$I$3)^('Base de datos '!D56/365))</f>
        <v>#NUM!</v>
      </c>
      <c r="F56" s="24" t="e">
        <f>IF('Modelos de TES'!$J$3&gt;='Base de datos '!B56,'Base de datos '!E56,0)</f>
        <v>#NUM!</v>
      </c>
    </row>
    <row r="57" spans="2:6" x14ac:dyDescent="0.3">
      <c r="B57" s="19">
        <f t="shared" si="3"/>
        <v>55</v>
      </c>
      <c r="C57" s="20" t="e">
        <f t="shared" si="2"/>
        <v>#NUM!</v>
      </c>
      <c r="D57" s="21" t="e">
        <f t="shared" si="1"/>
        <v>#NUM!</v>
      </c>
      <c r="E57" s="22" t="e">
        <f>(IF('Modelos de TES'!$J$3='Base de datos '!B57,'Modelos de TES'!$K$3+'Modelos de TES'!$G$3,'Modelos de TES'!$K$3))/((1+'Modelos de TES'!$I$3)^('Base de datos '!D57/365))</f>
        <v>#NUM!</v>
      </c>
      <c r="F57" s="24" t="e">
        <f>IF('Modelos de TES'!$J$3&gt;='Base de datos '!B57,'Base de datos '!E57,0)</f>
        <v>#NUM!</v>
      </c>
    </row>
    <row r="58" spans="2:6" x14ac:dyDescent="0.3">
      <c r="B58" s="19">
        <f t="shared" si="3"/>
        <v>56</v>
      </c>
      <c r="C58" s="20" t="e">
        <f t="shared" si="2"/>
        <v>#NUM!</v>
      </c>
      <c r="D58" s="21" t="e">
        <f t="shared" si="1"/>
        <v>#NUM!</v>
      </c>
      <c r="E58" s="22" t="e">
        <f>(IF('Modelos de TES'!$J$3='Base de datos '!B58,'Modelos de TES'!$K$3+'Modelos de TES'!$G$3,'Modelos de TES'!$K$3))/((1+'Modelos de TES'!$I$3)^('Base de datos '!D58/365))</f>
        <v>#NUM!</v>
      </c>
      <c r="F58" s="24" t="e">
        <f>IF('Modelos de TES'!$J$3&gt;='Base de datos '!B58,'Base de datos '!E58,0)</f>
        <v>#NUM!</v>
      </c>
    </row>
    <row r="59" spans="2:6" x14ac:dyDescent="0.3">
      <c r="B59" s="19">
        <f t="shared" si="3"/>
        <v>57</v>
      </c>
      <c r="C59" s="20" t="e">
        <f t="shared" si="2"/>
        <v>#NUM!</v>
      </c>
      <c r="D59" s="21" t="e">
        <f t="shared" si="1"/>
        <v>#NUM!</v>
      </c>
      <c r="E59" s="22" t="e">
        <f>(IF('Modelos de TES'!$J$3='Base de datos '!B59,'Modelos de TES'!$K$3+'Modelos de TES'!$G$3,'Modelos de TES'!$K$3))/((1+'Modelos de TES'!$I$3)^('Base de datos '!D59/365))</f>
        <v>#NUM!</v>
      </c>
      <c r="F59" s="24" t="e">
        <f>IF('Modelos de TES'!$J$3&gt;='Base de datos '!B59,'Base de datos '!E59,0)</f>
        <v>#NUM!</v>
      </c>
    </row>
    <row r="60" spans="2:6" x14ac:dyDescent="0.3">
      <c r="B60" s="19">
        <f t="shared" si="3"/>
        <v>58</v>
      </c>
      <c r="C60" s="20" t="e">
        <f t="shared" si="2"/>
        <v>#NUM!</v>
      </c>
      <c r="D60" s="21" t="e">
        <f t="shared" si="1"/>
        <v>#NUM!</v>
      </c>
      <c r="E60" s="22" t="e">
        <f>(IF('Modelos de TES'!$J$3='Base de datos '!B60,'Modelos de TES'!$K$3+'Modelos de TES'!$G$3,'Modelos de TES'!$K$3))/((1+'Modelos de TES'!$I$3)^('Base de datos '!D60/365))</f>
        <v>#NUM!</v>
      </c>
      <c r="F60" s="24" t="e">
        <f>IF('Modelos de TES'!$J$3&gt;='Base de datos '!B60,'Base de datos '!E60,0)</f>
        <v>#NUM!</v>
      </c>
    </row>
    <row r="61" spans="2:6" x14ac:dyDescent="0.3">
      <c r="B61" s="19">
        <f t="shared" si="3"/>
        <v>59</v>
      </c>
      <c r="C61" s="20" t="e">
        <f t="shared" si="2"/>
        <v>#NUM!</v>
      </c>
      <c r="D61" s="21" t="e">
        <f t="shared" si="1"/>
        <v>#NUM!</v>
      </c>
      <c r="E61" s="22" t="e">
        <f>(IF('Modelos de TES'!$J$3='Base de datos '!B61,'Modelos de TES'!$K$3+'Modelos de TES'!$G$3,'Modelos de TES'!$K$3))/((1+'Modelos de TES'!$I$3)^('Base de datos '!D61/365))</f>
        <v>#NUM!</v>
      </c>
      <c r="F61" s="24" t="e">
        <f>IF('Modelos de TES'!$J$3&gt;='Base de datos '!B61,'Base de datos '!E61,0)</f>
        <v>#NUM!</v>
      </c>
    </row>
    <row r="62" spans="2:6" x14ac:dyDescent="0.3">
      <c r="B62" s="19">
        <f t="shared" si="3"/>
        <v>60</v>
      </c>
      <c r="C62" s="20" t="e">
        <f t="shared" si="2"/>
        <v>#NUM!</v>
      </c>
      <c r="D62" s="21" t="e">
        <f t="shared" si="1"/>
        <v>#NUM!</v>
      </c>
      <c r="E62" s="22" t="e">
        <f>(IF('Modelos de TES'!$J$3='Base de datos '!B62,'Modelos de TES'!$K$3+'Modelos de TES'!$G$3,'Modelos de TES'!$K$3))/((1+'Modelos de TES'!$I$3)^('Base de datos '!D62/365))</f>
        <v>#NUM!</v>
      </c>
      <c r="F62" s="24" t="e">
        <f>IF('Modelos de TES'!$J$3&gt;='Base de datos '!B62,'Base de datos '!E62,0)</f>
        <v>#NUM!</v>
      </c>
    </row>
    <row r="63" spans="2:6" x14ac:dyDescent="0.3">
      <c r="B63" s="19">
        <f t="shared" si="3"/>
        <v>61</v>
      </c>
      <c r="C63" s="20" t="e">
        <f t="shared" si="2"/>
        <v>#NUM!</v>
      </c>
      <c r="D63" s="21" t="e">
        <f t="shared" si="1"/>
        <v>#NUM!</v>
      </c>
      <c r="E63" s="22" t="e">
        <f>(IF('Modelos de TES'!$J$3='Base de datos '!B63,'Modelos de TES'!$K$3+'Modelos de TES'!$G$3,'Modelos de TES'!$K$3))/((1+'Modelos de TES'!$I$3)^('Base de datos '!D63/365))</f>
        <v>#NUM!</v>
      </c>
      <c r="F63" s="24" t="e">
        <f>IF('Modelos de TES'!$J$3&gt;='Base de datos '!B63,'Base de datos '!E63,0)</f>
        <v>#NUM!</v>
      </c>
    </row>
    <row r="64" spans="2:6" x14ac:dyDescent="0.3">
      <c r="B64" s="19">
        <f t="shared" si="3"/>
        <v>62</v>
      </c>
      <c r="C64" s="20" t="e">
        <f t="shared" si="2"/>
        <v>#NUM!</v>
      </c>
      <c r="D64" s="21" t="e">
        <f t="shared" si="1"/>
        <v>#NUM!</v>
      </c>
      <c r="E64" s="22" t="e">
        <f>(IF('Modelos de TES'!$J$3='Base de datos '!B64,'Modelos de TES'!$K$3+'Modelos de TES'!$G$3,'Modelos de TES'!$K$3))/((1+'Modelos de TES'!$I$3)^('Base de datos '!D64/365))</f>
        <v>#NUM!</v>
      </c>
      <c r="F64" s="24" t="e">
        <f>IF('Modelos de TES'!$J$3&gt;='Base de datos '!B64,'Base de datos '!E64,0)</f>
        <v>#NUM!</v>
      </c>
    </row>
    <row r="65" spans="2:6" x14ac:dyDescent="0.3">
      <c r="B65" s="19">
        <f t="shared" si="3"/>
        <v>63</v>
      </c>
      <c r="C65" s="20" t="e">
        <f t="shared" si="2"/>
        <v>#NUM!</v>
      </c>
      <c r="D65" s="21" t="e">
        <f t="shared" si="1"/>
        <v>#NUM!</v>
      </c>
      <c r="E65" s="22" t="e">
        <f>(IF('Modelos de TES'!$J$3='Base de datos '!B65,'Modelos de TES'!$K$3+'Modelos de TES'!$G$3,'Modelos de TES'!$K$3))/((1+'Modelos de TES'!$I$3)^('Base de datos '!D65/365))</f>
        <v>#NUM!</v>
      </c>
      <c r="F65" s="24" t="e">
        <f>IF('Modelos de TES'!$J$3&gt;='Base de datos '!B65,'Base de datos '!E65,0)</f>
        <v>#NUM!</v>
      </c>
    </row>
    <row r="66" spans="2:6" x14ac:dyDescent="0.3">
      <c r="B66" s="19">
        <f t="shared" si="3"/>
        <v>64</v>
      </c>
      <c r="C66" s="20" t="e">
        <f t="shared" si="2"/>
        <v>#NUM!</v>
      </c>
      <c r="D66" s="21" t="e">
        <f t="shared" si="1"/>
        <v>#NUM!</v>
      </c>
      <c r="E66" s="22" t="e">
        <f>(IF('Modelos de TES'!$J$3='Base de datos '!B66,'Modelos de TES'!$K$3+'Modelos de TES'!$G$3,'Modelos de TES'!$K$3))/((1+'Modelos de TES'!$I$3)^('Base de datos '!D66/365))</f>
        <v>#NUM!</v>
      </c>
      <c r="F66" s="24" t="e">
        <f>IF('Modelos de TES'!$J$3&gt;='Base de datos '!B66,'Base de datos '!E66,0)</f>
        <v>#NUM!</v>
      </c>
    </row>
    <row r="67" spans="2:6" x14ac:dyDescent="0.3">
      <c r="B67" s="19">
        <f t="shared" si="3"/>
        <v>65</v>
      </c>
      <c r="C67" s="20" t="e">
        <f t="shared" si="2"/>
        <v>#NUM!</v>
      </c>
      <c r="D67" s="21" t="e">
        <f t="shared" si="1"/>
        <v>#NUM!</v>
      </c>
      <c r="E67" s="22" t="e">
        <f>(IF('Modelos de TES'!$J$3='Base de datos '!B67,'Modelos de TES'!$K$3+'Modelos de TES'!$G$3,'Modelos de TES'!$K$3))/((1+'Modelos de TES'!$I$3)^('Base de datos '!D67/365))</f>
        <v>#NUM!</v>
      </c>
      <c r="F67" s="24" t="e">
        <f>IF('Modelos de TES'!$J$3&gt;='Base de datos '!B67,'Base de datos '!E67,0)</f>
        <v>#NUM!</v>
      </c>
    </row>
    <row r="68" spans="2:6" x14ac:dyDescent="0.3">
      <c r="B68" s="19">
        <f t="shared" si="3"/>
        <v>66</v>
      </c>
      <c r="C68" s="20" t="e">
        <f t="shared" si="2"/>
        <v>#NUM!</v>
      </c>
      <c r="D68" s="21" t="e">
        <f t="shared" si="1"/>
        <v>#NUM!</v>
      </c>
      <c r="E68" s="22" t="e">
        <f>(IF('Modelos de TES'!$J$3='Base de datos '!B68,'Modelos de TES'!$K$3+'Modelos de TES'!$G$3,'Modelos de TES'!$K$3))/((1+'Modelos de TES'!$I$3)^('Base de datos '!D68/365))</f>
        <v>#NUM!</v>
      </c>
      <c r="F68" s="24" t="e">
        <f>IF('Modelos de TES'!$J$3&gt;='Base de datos '!B68,'Base de datos '!E68,0)</f>
        <v>#NUM!</v>
      </c>
    </row>
    <row r="69" spans="2:6" x14ac:dyDescent="0.3">
      <c r="B69" s="19">
        <f t="shared" si="3"/>
        <v>67</v>
      </c>
      <c r="C69" s="20" t="e">
        <f t="shared" si="2"/>
        <v>#NUM!</v>
      </c>
      <c r="D69" s="21" t="e">
        <f t="shared" ref="D69:D132" si="4">D68+365</f>
        <v>#NUM!</v>
      </c>
      <c r="E69" s="22" t="e">
        <f>(IF('Modelos de TES'!$J$3='Base de datos '!B69,'Modelos de TES'!$K$3+'Modelos de TES'!$G$3,'Modelos de TES'!$K$3))/((1+'Modelos de TES'!$I$3)^('Base de datos '!D69/365))</f>
        <v>#NUM!</v>
      </c>
      <c r="F69" s="24" t="e">
        <f>IF('Modelos de TES'!$J$3&gt;='Base de datos '!B69,'Base de datos '!E69,0)</f>
        <v>#NUM!</v>
      </c>
    </row>
    <row r="70" spans="2:6" x14ac:dyDescent="0.3">
      <c r="B70" s="19">
        <f t="shared" si="3"/>
        <v>68</v>
      </c>
      <c r="C70" s="20" t="e">
        <f t="shared" si="2"/>
        <v>#NUM!</v>
      </c>
      <c r="D70" s="21" t="e">
        <f t="shared" si="4"/>
        <v>#NUM!</v>
      </c>
      <c r="E70" s="22" t="e">
        <f>(IF('Modelos de TES'!$J$3='Base de datos '!B70,'Modelos de TES'!$K$3+'Modelos de TES'!$G$3,'Modelos de TES'!$K$3))/((1+'Modelos de TES'!$I$3)^('Base de datos '!D70/365))</f>
        <v>#NUM!</v>
      </c>
      <c r="F70" s="24" t="e">
        <f>IF('Modelos de TES'!$J$3&gt;='Base de datos '!B70,'Base de datos '!E70,0)</f>
        <v>#NUM!</v>
      </c>
    </row>
    <row r="71" spans="2:6" x14ac:dyDescent="0.3">
      <c r="B71" s="19">
        <f t="shared" si="3"/>
        <v>69</v>
      </c>
      <c r="C71" s="20" t="e">
        <f t="shared" si="2"/>
        <v>#NUM!</v>
      </c>
      <c r="D71" s="21" t="e">
        <f t="shared" si="4"/>
        <v>#NUM!</v>
      </c>
      <c r="E71" s="22" t="e">
        <f>(IF('Modelos de TES'!$J$3='Base de datos '!B71,'Modelos de TES'!$K$3+'Modelos de TES'!$G$3,'Modelos de TES'!$K$3))/((1+'Modelos de TES'!$I$3)^('Base de datos '!D71/365))</f>
        <v>#NUM!</v>
      </c>
      <c r="F71" s="24" t="e">
        <f>IF('Modelos de TES'!$J$3&gt;='Base de datos '!B71,'Base de datos '!E71,0)</f>
        <v>#NUM!</v>
      </c>
    </row>
    <row r="72" spans="2:6" x14ac:dyDescent="0.3">
      <c r="B72" s="19">
        <f t="shared" si="3"/>
        <v>70</v>
      </c>
      <c r="C72" s="20" t="e">
        <f t="shared" si="2"/>
        <v>#NUM!</v>
      </c>
      <c r="D72" s="21" t="e">
        <f t="shared" si="4"/>
        <v>#NUM!</v>
      </c>
      <c r="E72" s="22" t="e">
        <f>(IF('Modelos de TES'!$J$3='Base de datos '!B72,'Modelos de TES'!$K$3+'Modelos de TES'!$G$3,'Modelos de TES'!$K$3))/((1+'Modelos de TES'!$I$3)^('Base de datos '!D72/365))</f>
        <v>#NUM!</v>
      </c>
      <c r="F72" s="24" t="e">
        <f>IF('Modelos de TES'!$J$3&gt;='Base de datos '!B72,'Base de datos '!E72,0)</f>
        <v>#NUM!</v>
      </c>
    </row>
    <row r="73" spans="2:6" x14ac:dyDescent="0.3">
      <c r="B73" s="19">
        <f t="shared" si="3"/>
        <v>71</v>
      </c>
      <c r="C73" s="20" t="e">
        <f t="shared" si="2"/>
        <v>#NUM!</v>
      </c>
      <c r="D73" s="21" t="e">
        <f t="shared" si="4"/>
        <v>#NUM!</v>
      </c>
      <c r="E73" s="22" t="e">
        <f>(IF('Modelos de TES'!$J$3='Base de datos '!B73,'Modelos de TES'!$K$3+'Modelos de TES'!$G$3,'Modelos de TES'!$K$3))/((1+'Modelos de TES'!$I$3)^('Base de datos '!D73/365))</f>
        <v>#NUM!</v>
      </c>
      <c r="F73" s="24" t="e">
        <f>IF('Modelos de TES'!$J$3&gt;='Base de datos '!B73,'Base de datos '!E73,0)</f>
        <v>#NUM!</v>
      </c>
    </row>
    <row r="74" spans="2:6" x14ac:dyDescent="0.3">
      <c r="B74" s="19">
        <f t="shared" si="3"/>
        <v>72</v>
      </c>
      <c r="C74" s="20" t="e">
        <f t="shared" si="2"/>
        <v>#NUM!</v>
      </c>
      <c r="D74" s="21" t="e">
        <f t="shared" si="4"/>
        <v>#NUM!</v>
      </c>
      <c r="E74" s="22" t="e">
        <f>(IF('Modelos de TES'!$J$3='Base de datos '!B74,'Modelos de TES'!$K$3+'Modelos de TES'!$G$3,'Modelos de TES'!$K$3))/((1+'Modelos de TES'!$I$3)^('Base de datos '!D74/365))</f>
        <v>#NUM!</v>
      </c>
      <c r="F74" s="24" t="e">
        <f>IF('Modelos de TES'!$J$3&gt;='Base de datos '!B74,'Base de datos '!E74,0)</f>
        <v>#NUM!</v>
      </c>
    </row>
    <row r="75" spans="2:6" x14ac:dyDescent="0.3">
      <c r="B75" s="19">
        <f t="shared" si="3"/>
        <v>73</v>
      </c>
      <c r="C75" s="20" t="e">
        <f t="shared" si="2"/>
        <v>#NUM!</v>
      </c>
      <c r="D75" s="21" t="e">
        <f t="shared" si="4"/>
        <v>#NUM!</v>
      </c>
      <c r="E75" s="22" t="e">
        <f>(IF('Modelos de TES'!$J$3='Base de datos '!B75,'Modelos de TES'!$K$3+'Modelos de TES'!$G$3,'Modelos de TES'!$K$3))/((1+'Modelos de TES'!$I$3)^('Base de datos '!D75/365))</f>
        <v>#NUM!</v>
      </c>
      <c r="F75" s="24" t="e">
        <f>IF('Modelos de TES'!$J$3&gt;='Base de datos '!B75,'Base de datos '!E75,0)</f>
        <v>#NUM!</v>
      </c>
    </row>
    <row r="76" spans="2:6" x14ac:dyDescent="0.3">
      <c r="B76" s="19">
        <f t="shared" si="3"/>
        <v>74</v>
      </c>
      <c r="C76" s="20" t="e">
        <f t="shared" si="2"/>
        <v>#NUM!</v>
      </c>
      <c r="D76" s="21" t="e">
        <f t="shared" si="4"/>
        <v>#NUM!</v>
      </c>
      <c r="E76" s="22" t="e">
        <f>(IF('Modelos de TES'!$J$3='Base de datos '!B76,'Modelos de TES'!$K$3+'Modelos de TES'!$G$3,'Modelos de TES'!$K$3))/((1+'Modelos de TES'!$I$3)^('Base de datos '!D76/365))</f>
        <v>#NUM!</v>
      </c>
      <c r="F76" s="24" t="e">
        <f>IF('Modelos de TES'!$J$3&gt;='Base de datos '!B76,'Base de datos '!E76,0)</f>
        <v>#NUM!</v>
      </c>
    </row>
    <row r="77" spans="2:6" x14ac:dyDescent="0.3">
      <c r="B77" s="19">
        <f t="shared" si="3"/>
        <v>75</v>
      </c>
      <c r="C77" s="20" t="e">
        <f t="shared" ref="C77:C140" si="5">COUPNCD(C76,$A$2,1,3)</f>
        <v>#NUM!</v>
      </c>
      <c r="D77" s="21" t="e">
        <f t="shared" si="4"/>
        <v>#NUM!</v>
      </c>
      <c r="E77" s="22" t="e">
        <f>(IF('Modelos de TES'!$J$3='Base de datos '!B77,'Modelos de TES'!$K$3+'Modelos de TES'!$G$3,'Modelos de TES'!$K$3))/((1+'Modelos de TES'!$I$3)^('Base de datos '!D77/365))</f>
        <v>#NUM!</v>
      </c>
      <c r="F77" s="24" t="e">
        <f>IF('Modelos de TES'!$J$3&gt;='Base de datos '!B77,'Base de datos '!E77,0)</f>
        <v>#NUM!</v>
      </c>
    </row>
    <row r="78" spans="2:6" x14ac:dyDescent="0.3">
      <c r="B78" s="19">
        <f t="shared" ref="B78:B141" si="6">B77+1</f>
        <v>76</v>
      </c>
      <c r="C78" s="20" t="e">
        <f t="shared" si="5"/>
        <v>#NUM!</v>
      </c>
      <c r="D78" s="21" t="e">
        <f t="shared" si="4"/>
        <v>#NUM!</v>
      </c>
      <c r="E78" s="22" t="e">
        <f>(IF('Modelos de TES'!$J$3='Base de datos '!B78,'Modelos de TES'!$K$3+'Modelos de TES'!$G$3,'Modelos de TES'!$K$3))/((1+'Modelos de TES'!$I$3)^('Base de datos '!D78/365))</f>
        <v>#NUM!</v>
      </c>
      <c r="F78" s="24" t="e">
        <f>IF('Modelos de TES'!$J$3&gt;='Base de datos '!B78,'Base de datos '!E78,0)</f>
        <v>#NUM!</v>
      </c>
    </row>
    <row r="79" spans="2:6" x14ac:dyDescent="0.3">
      <c r="B79" s="19">
        <f t="shared" si="6"/>
        <v>77</v>
      </c>
      <c r="C79" s="20" t="e">
        <f t="shared" si="5"/>
        <v>#NUM!</v>
      </c>
      <c r="D79" s="21" t="e">
        <f t="shared" si="4"/>
        <v>#NUM!</v>
      </c>
      <c r="E79" s="22" t="e">
        <f>(IF('Modelos de TES'!$J$3='Base de datos '!B79,'Modelos de TES'!$K$3+'Modelos de TES'!$G$3,'Modelos de TES'!$K$3))/((1+'Modelos de TES'!$I$3)^('Base de datos '!D79/365))</f>
        <v>#NUM!</v>
      </c>
      <c r="F79" s="24" t="e">
        <f>IF('Modelos de TES'!$J$3&gt;='Base de datos '!B79,'Base de datos '!E79,0)</f>
        <v>#NUM!</v>
      </c>
    </row>
    <row r="80" spans="2:6" x14ac:dyDescent="0.3">
      <c r="B80" s="19">
        <f t="shared" si="6"/>
        <v>78</v>
      </c>
      <c r="C80" s="20" t="e">
        <f t="shared" si="5"/>
        <v>#NUM!</v>
      </c>
      <c r="D80" s="21" t="e">
        <f t="shared" si="4"/>
        <v>#NUM!</v>
      </c>
      <c r="E80" s="22" t="e">
        <f>(IF('Modelos de TES'!$J$3='Base de datos '!B80,'Modelos de TES'!$K$3+'Modelos de TES'!$G$3,'Modelos de TES'!$K$3))/((1+'Modelos de TES'!$I$3)^('Base de datos '!D80/365))</f>
        <v>#NUM!</v>
      </c>
      <c r="F80" s="24" t="e">
        <f>IF('Modelos de TES'!$J$3&gt;='Base de datos '!B80,'Base de datos '!E80,0)</f>
        <v>#NUM!</v>
      </c>
    </row>
    <row r="81" spans="2:6" x14ac:dyDescent="0.3">
      <c r="B81" s="19">
        <f t="shared" si="6"/>
        <v>79</v>
      </c>
      <c r="C81" s="20" t="e">
        <f t="shared" si="5"/>
        <v>#NUM!</v>
      </c>
      <c r="D81" s="21" t="e">
        <f t="shared" si="4"/>
        <v>#NUM!</v>
      </c>
      <c r="E81" s="22" t="e">
        <f>(IF('Modelos de TES'!$J$3='Base de datos '!B81,'Modelos de TES'!$K$3+'Modelos de TES'!$G$3,'Modelos de TES'!$K$3))/((1+'Modelos de TES'!$I$3)^('Base de datos '!D81/365))</f>
        <v>#NUM!</v>
      </c>
      <c r="F81" s="24" t="e">
        <f>IF('Modelos de TES'!$J$3&gt;='Base de datos '!B81,'Base de datos '!E81,0)</f>
        <v>#NUM!</v>
      </c>
    </row>
    <row r="82" spans="2:6" x14ac:dyDescent="0.3">
      <c r="B82" s="19">
        <f t="shared" si="6"/>
        <v>80</v>
      </c>
      <c r="C82" s="20" t="e">
        <f t="shared" si="5"/>
        <v>#NUM!</v>
      </c>
      <c r="D82" s="21" t="e">
        <f t="shared" si="4"/>
        <v>#NUM!</v>
      </c>
      <c r="E82" s="22" t="e">
        <f>(IF('Modelos de TES'!$J$3='Base de datos '!B82,'Modelos de TES'!$K$3+'Modelos de TES'!$G$3,'Modelos de TES'!$K$3))/((1+'Modelos de TES'!$I$3)^('Base de datos '!D82/365))</f>
        <v>#NUM!</v>
      </c>
      <c r="F82" s="24" t="e">
        <f>IF('Modelos de TES'!$J$3&gt;='Base de datos '!B82,'Base de datos '!E82,0)</f>
        <v>#NUM!</v>
      </c>
    </row>
    <row r="83" spans="2:6" x14ac:dyDescent="0.3">
      <c r="B83" s="19">
        <f t="shared" si="6"/>
        <v>81</v>
      </c>
      <c r="C83" s="20" t="e">
        <f t="shared" si="5"/>
        <v>#NUM!</v>
      </c>
      <c r="D83" s="21" t="e">
        <f t="shared" si="4"/>
        <v>#NUM!</v>
      </c>
      <c r="E83" s="22" t="e">
        <f>(IF('Modelos de TES'!$J$3='Base de datos '!B83,'Modelos de TES'!$K$3+'Modelos de TES'!$G$3,'Modelos de TES'!$K$3))/((1+'Modelos de TES'!$I$3)^('Base de datos '!D83/365))</f>
        <v>#NUM!</v>
      </c>
      <c r="F83" s="24" t="e">
        <f>IF('Modelos de TES'!$J$3&gt;='Base de datos '!B83,'Base de datos '!E83,0)</f>
        <v>#NUM!</v>
      </c>
    </row>
    <row r="84" spans="2:6" x14ac:dyDescent="0.3">
      <c r="B84" s="19">
        <f t="shared" si="6"/>
        <v>82</v>
      </c>
      <c r="C84" s="20" t="e">
        <f t="shared" si="5"/>
        <v>#NUM!</v>
      </c>
      <c r="D84" s="21" t="e">
        <f t="shared" si="4"/>
        <v>#NUM!</v>
      </c>
      <c r="E84" s="22" t="e">
        <f>(IF('Modelos de TES'!$J$3='Base de datos '!B84,'Modelos de TES'!$K$3+'Modelos de TES'!$G$3,'Modelos de TES'!$K$3))/((1+'Modelos de TES'!$I$3)^('Base de datos '!D84/365))</f>
        <v>#NUM!</v>
      </c>
      <c r="F84" s="24" t="e">
        <f>IF('Modelos de TES'!$J$3&gt;='Base de datos '!B84,'Base de datos '!E84,0)</f>
        <v>#NUM!</v>
      </c>
    </row>
    <row r="85" spans="2:6" x14ac:dyDescent="0.3">
      <c r="B85" s="19">
        <f t="shared" si="6"/>
        <v>83</v>
      </c>
      <c r="C85" s="20" t="e">
        <f t="shared" si="5"/>
        <v>#NUM!</v>
      </c>
      <c r="D85" s="21" t="e">
        <f t="shared" si="4"/>
        <v>#NUM!</v>
      </c>
      <c r="E85" s="22" t="e">
        <f>(IF('Modelos de TES'!$J$3='Base de datos '!B85,'Modelos de TES'!$K$3+'Modelos de TES'!$G$3,'Modelos de TES'!$K$3))/((1+'Modelos de TES'!$I$3)^('Base de datos '!D85/365))</f>
        <v>#NUM!</v>
      </c>
      <c r="F85" s="24" t="e">
        <f>IF('Modelos de TES'!$J$3&gt;='Base de datos '!B85,'Base de datos '!E85,0)</f>
        <v>#NUM!</v>
      </c>
    </row>
    <row r="86" spans="2:6" x14ac:dyDescent="0.3">
      <c r="B86" s="19">
        <f t="shared" si="6"/>
        <v>84</v>
      </c>
      <c r="C86" s="20" t="e">
        <f t="shared" si="5"/>
        <v>#NUM!</v>
      </c>
      <c r="D86" s="21" t="e">
        <f t="shared" si="4"/>
        <v>#NUM!</v>
      </c>
      <c r="E86" s="22" t="e">
        <f>(IF('Modelos de TES'!$J$3='Base de datos '!B86,'Modelos de TES'!$K$3+'Modelos de TES'!$G$3,'Modelos de TES'!$K$3))/((1+'Modelos de TES'!$I$3)^('Base de datos '!D86/365))</f>
        <v>#NUM!</v>
      </c>
      <c r="F86" s="24" t="e">
        <f>IF('Modelos de TES'!$J$3&gt;='Base de datos '!B86,'Base de datos '!E86,0)</f>
        <v>#NUM!</v>
      </c>
    </row>
    <row r="87" spans="2:6" x14ac:dyDescent="0.3">
      <c r="B87" s="19">
        <f t="shared" si="6"/>
        <v>85</v>
      </c>
      <c r="C87" s="20" t="e">
        <f t="shared" si="5"/>
        <v>#NUM!</v>
      </c>
      <c r="D87" s="21" t="e">
        <f t="shared" si="4"/>
        <v>#NUM!</v>
      </c>
      <c r="E87" s="22" t="e">
        <f>(IF('Modelos de TES'!$J$3='Base de datos '!B87,'Modelos de TES'!$K$3+'Modelos de TES'!$G$3,'Modelos de TES'!$K$3))/((1+'Modelos de TES'!$I$3)^('Base de datos '!D87/365))</f>
        <v>#NUM!</v>
      </c>
      <c r="F87" s="24" t="e">
        <f>IF('Modelos de TES'!$J$3&gt;='Base de datos '!B87,'Base de datos '!E87,0)</f>
        <v>#NUM!</v>
      </c>
    </row>
    <row r="88" spans="2:6" x14ac:dyDescent="0.3">
      <c r="B88" s="19">
        <f t="shared" si="6"/>
        <v>86</v>
      </c>
      <c r="C88" s="20" t="e">
        <f t="shared" si="5"/>
        <v>#NUM!</v>
      </c>
      <c r="D88" s="21" t="e">
        <f t="shared" si="4"/>
        <v>#NUM!</v>
      </c>
      <c r="E88" s="22" t="e">
        <f>(IF('Modelos de TES'!$J$3='Base de datos '!B88,'Modelos de TES'!$K$3+'Modelos de TES'!$G$3,'Modelos de TES'!$K$3))/((1+'Modelos de TES'!$I$3)^('Base de datos '!D88/365))</f>
        <v>#NUM!</v>
      </c>
      <c r="F88" s="24" t="e">
        <f>IF('Modelos de TES'!$J$3&gt;='Base de datos '!B88,'Base de datos '!E88,0)</f>
        <v>#NUM!</v>
      </c>
    </row>
    <row r="89" spans="2:6" x14ac:dyDescent="0.3">
      <c r="B89" s="19">
        <f t="shared" si="6"/>
        <v>87</v>
      </c>
      <c r="C89" s="20" t="e">
        <f t="shared" si="5"/>
        <v>#NUM!</v>
      </c>
      <c r="D89" s="21" t="e">
        <f t="shared" si="4"/>
        <v>#NUM!</v>
      </c>
      <c r="E89" s="22" t="e">
        <f>(IF('Modelos de TES'!$J$3='Base de datos '!B89,'Modelos de TES'!$K$3+'Modelos de TES'!$G$3,'Modelos de TES'!$K$3))/((1+'Modelos de TES'!$I$3)^('Base de datos '!D89/365))</f>
        <v>#NUM!</v>
      </c>
      <c r="F89" s="24" t="e">
        <f>IF('Modelos de TES'!$J$3&gt;='Base de datos '!B89,'Base de datos '!E89,0)</f>
        <v>#NUM!</v>
      </c>
    </row>
    <row r="90" spans="2:6" x14ac:dyDescent="0.3">
      <c r="B90" s="19">
        <f t="shared" si="6"/>
        <v>88</v>
      </c>
      <c r="C90" s="20" t="e">
        <f t="shared" si="5"/>
        <v>#NUM!</v>
      </c>
      <c r="D90" s="21" t="e">
        <f t="shared" si="4"/>
        <v>#NUM!</v>
      </c>
      <c r="E90" s="22" t="e">
        <f>(IF('Modelos de TES'!$J$3='Base de datos '!B90,'Modelos de TES'!$K$3+'Modelos de TES'!$G$3,'Modelos de TES'!$K$3))/((1+'Modelos de TES'!$I$3)^('Base de datos '!D90/365))</f>
        <v>#NUM!</v>
      </c>
      <c r="F90" s="24" t="e">
        <f>IF('Modelos de TES'!$J$3&gt;='Base de datos '!B90,'Base de datos '!E90,0)</f>
        <v>#NUM!</v>
      </c>
    </row>
    <row r="91" spans="2:6" x14ac:dyDescent="0.3">
      <c r="B91" s="19">
        <f t="shared" si="6"/>
        <v>89</v>
      </c>
      <c r="C91" s="20" t="e">
        <f t="shared" si="5"/>
        <v>#NUM!</v>
      </c>
      <c r="D91" s="21" t="e">
        <f t="shared" si="4"/>
        <v>#NUM!</v>
      </c>
      <c r="E91" s="22" t="e">
        <f>(IF('Modelos de TES'!$J$3='Base de datos '!B91,'Modelos de TES'!$K$3+'Modelos de TES'!$G$3,'Modelos de TES'!$K$3))/((1+'Modelos de TES'!$I$3)^('Base de datos '!D91/365))</f>
        <v>#NUM!</v>
      </c>
      <c r="F91" s="24" t="e">
        <f>IF('Modelos de TES'!$J$3&gt;='Base de datos '!B91,'Base de datos '!E91,0)</f>
        <v>#NUM!</v>
      </c>
    </row>
    <row r="92" spans="2:6" x14ac:dyDescent="0.3">
      <c r="B92" s="19">
        <f t="shared" si="6"/>
        <v>90</v>
      </c>
      <c r="C92" s="20" t="e">
        <f t="shared" si="5"/>
        <v>#NUM!</v>
      </c>
      <c r="D92" s="21" t="e">
        <f t="shared" si="4"/>
        <v>#NUM!</v>
      </c>
      <c r="E92" s="22" t="e">
        <f>(IF('Modelos de TES'!$J$3='Base de datos '!B92,'Modelos de TES'!$K$3+'Modelos de TES'!$G$3,'Modelos de TES'!$K$3))/((1+'Modelos de TES'!$I$3)^('Base de datos '!D92/365))</f>
        <v>#NUM!</v>
      </c>
      <c r="F92" s="24" t="e">
        <f>IF('Modelos de TES'!$J$3&gt;='Base de datos '!B92,'Base de datos '!E92,0)</f>
        <v>#NUM!</v>
      </c>
    </row>
    <row r="93" spans="2:6" x14ac:dyDescent="0.3">
      <c r="B93" s="19">
        <f t="shared" si="6"/>
        <v>91</v>
      </c>
      <c r="C93" s="20" t="e">
        <f t="shared" si="5"/>
        <v>#NUM!</v>
      </c>
      <c r="D93" s="21" t="e">
        <f t="shared" si="4"/>
        <v>#NUM!</v>
      </c>
      <c r="E93" s="22" t="e">
        <f>(IF('Modelos de TES'!$J$3='Base de datos '!B93,'Modelos de TES'!$K$3+'Modelos de TES'!$G$3,'Modelos de TES'!$K$3))/((1+'Modelos de TES'!$I$3)^('Base de datos '!D93/365))</f>
        <v>#NUM!</v>
      </c>
      <c r="F93" s="24" t="e">
        <f>IF('Modelos de TES'!$J$3&gt;='Base de datos '!B93,'Base de datos '!E93,0)</f>
        <v>#NUM!</v>
      </c>
    </row>
    <row r="94" spans="2:6" x14ac:dyDescent="0.3">
      <c r="B94" s="19">
        <f t="shared" si="6"/>
        <v>92</v>
      </c>
      <c r="C94" s="20" t="e">
        <f t="shared" si="5"/>
        <v>#NUM!</v>
      </c>
      <c r="D94" s="21" t="e">
        <f t="shared" si="4"/>
        <v>#NUM!</v>
      </c>
      <c r="E94" s="22" t="e">
        <f>(IF('Modelos de TES'!$J$3='Base de datos '!B94,'Modelos de TES'!$K$3+'Modelos de TES'!$G$3,'Modelos de TES'!$K$3))/((1+'Modelos de TES'!$I$3)^('Base de datos '!D94/365))</f>
        <v>#NUM!</v>
      </c>
      <c r="F94" s="24" t="e">
        <f>IF('Modelos de TES'!$J$3&gt;='Base de datos '!B94,'Base de datos '!E94,0)</f>
        <v>#NUM!</v>
      </c>
    </row>
    <row r="95" spans="2:6" x14ac:dyDescent="0.3">
      <c r="B95" s="19">
        <f t="shared" si="6"/>
        <v>93</v>
      </c>
      <c r="C95" s="20" t="e">
        <f t="shared" si="5"/>
        <v>#NUM!</v>
      </c>
      <c r="D95" s="21" t="e">
        <f t="shared" si="4"/>
        <v>#NUM!</v>
      </c>
      <c r="E95" s="22" t="e">
        <f>(IF('Modelos de TES'!$J$3='Base de datos '!B95,'Modelos de TES'!$K$3+'Modelos de TES'!$G$3,'Modelos de TES'!$K$3))/((1+'Modelos de TES'!$I$3)^('Base de datos '!D95/365))</f>
        <v>#NUM!</v>
      </c>
      <c r="F95" s="24" t="e">
        <f>IF('Modelos de TES'!$J$3&gt;='Base de datos '!B95,'Base de datos '!E95,0)</f>
        <v>#NUM!</v>
      </c>
    </row>
    <row r="96" spans="2:6" x14ac:dyDescent="0.3">
      <c r="B96" s="19">
        <f t="shared" si="6"/>
        <v>94</v>
      </c>
      <c r="C96" s="20" t="e">
        <f t="shared" si="5"/>
        <v>#NUM!</v>
      </c>
      <c r="D96" s="21" t="e">
        <f t="shared" si="4"/>
        <v>#NUM!</v>
      </c>
      <c r="E96" s="22" t="e">
        <f>(IF('Modelos de TES'!$J$3='Base de datos '!B96,'Modelos de TES'!$K$3+'Modelos de TES'!$G$3,'Modelos de TES'!$K$3))/((1+'Modelos de TES'!$I$3)^('Base de datos '!D96/365))</f>
        <v>#NUM!</v>
      </c>
      <c r="F96" s="24" t="e">
        <f>IF('Modelos de TES'!$J$3&gt;='Base de datos '!B96,'Base de datos '!E96,0)</f>
        <v>#NUM!</v>
      </c>
    </row>
    <row r="97" spans="2:6" x14ac:dyDescent="0.3">
      <c r="B97" s="19">
        <f t="shared" si="6"/>
        <v>95</v>
      </c>
      <c r="C97" s="20" t="e">
        <f t="shared" si="5"/>
        <v>#NUM!</v>
      </c>
      <c r="D97" s="21" t="e">
        <f t="shared" si="4"/>
        <v>#NUM!</v>
      </c>
      <c r="E97" s="22" t="e">
        <f>(IF('Modelos de TES'!$J$3='Base de datos '!B97,'Modelos de TES'!$K$3+'Modelos de TES'!$G$3,'Modelos de TES'!$K$3))/((1+'Modelos de TES'!$I$3)^('Base de datos '!D97/365))</f>
        <v>#NUM!</v>
      </c>
      <c r="F97" s="24" t="e">
        <f>IF('Modelos de TES'!$J$3&gt;='Base de datos '!B97,'Base de datos '!E97,0)</f>
        <v>#NUM!</v>
      </c>
    </row>
    <row r="98" spans="2:6" x14ac:dyDescent="0.3">
      <c r="B98" s="19">
        <f t="shared" si="6"/>
        <v>96</v>
      </c>
      <c r="C98" s="20" t="e">
        <f t="shared" si="5"/>
        <v>#NUM!</v>
      </c>
      <c r="D98" s="21" t="e">
        <f t="shared" si="4"/>
        <v>#NUM!</v>
      </c>
      <c r="E98" s="22" t="e">
        <f>(IF('Modelos de TES'!$J$3='Base de datos '!B98,'Modelos de TES'!$K$3+'Modelos de TES'!$G$3,'Modelos de TES'!$K$3))/((1+'Modelos de TES'!$I$3)^('Base de datos '!D98/365))</f>
        <v>#NUM!</v>
      </c>
      <c r="F98" s="24" t="e">
        <f>IF('Modelos de TES'!$J$3&gt;='Base de datos '!B98,'Base de datos '!E98,0)</f>
        <v>#NUM!</v>
      </c>
    </row>
    <row r="99" spans="2:6" x14ac:dyDescent="0.3">
      <c r="B99" s="19">
        <f t="shared" si="6"/>
        <v>97</v>
      </c>
      <c r="C99" s="20" t="e">
        <f t="shared" si="5"/>
        <v>#NUM!</v>
      </c>
      <c r="D99" s="21" t="e">
        <f t="shared" si="4"/>
        <v>#NUM!</v>
      </c>
      <c r="E99" s="22" t="e">
        <f>(IF('Modelos de TES'!$J$3='Base de datos '!B99,'Modelos de TES'!$K$3+'Modelos de TES'!$G$3,'Modelos de TES'!$K$3))/((1+'Modelos de TES'!$I$3)^('Base de datos '!D99/365))</f>
        <v>#NUM!</v>
      </c>
      <c r="F99" s="24" t="e">
        <f>IF('Modelos de TES'!$J$3&gt;='Base de datos '!B99,'Base de datos '!E99,0)</f>
        <v>#NUM!</v>
      </c>
    </row>
    <row r="100" spans="2:6" x14ac:dyDescent="0.3">
      <c r="B100" s="19">
        <f t="shared" si="6"/>
        <v>98</v>
      </c>
      <c r="C100" s="20" t="e">
        <f t="shared" si="5"/>
        <v>#NUM!</v>
      </c>
      <c r="D100" s="21" t="e">
        <f t="shared" si="4"/>
        <v>#NUM!</v>
      </c>
      <c r="E100" s="22" t="e">
        <f>(IF('Modelos de TES'!$J$3='Base de datos '!B100,'Modelos de TES'!$K$3+'Modelos de TES'!$G$3,'Modelos de TES'!$K$3))/((1+'Modelos de TES'!$I$3)^('Base de datos '!D100/365))</f>
        <v>#NUM!</v>
      </c>
      <c r="F100" s="24" t="e">
        <f>IF('Modelos de TES'!$J$3&gt;='Base de datos '!B100,'Base de datos '!E100,0)</f>
        <v>#NUM!</v>
      </c>
    </row>
    <row r="101" spans="2:6" x14ac:dyDescent="0.3">
      <c r="B101" s="19">
        <f t="shared" si="6"/>
        <v>99</v>
      </c>
      <c r="C101" s="20" t="e">
        <f t="shared" si="5"/>
        <v>#NUM!</v>
      </c>
      <c r="D101" s="21" t="e">
        <f t="shared" si="4"/>
        <v>#NUM!</v>
      </c>
      <c r="E101" s="22" t="e">
        <f>(IF('Modelos de TES'!$J$3='Base de datos '!B101,'Modelos de TES'!$K$3+'Modelos de TES'!$G$3,'Modelos de TES'!$K$3))/((1+'Modelos de TES'!$I$3)^('Base de datos '!D101/365))</f>
        <v>#NUM!</v>
      </c>
      <c r="F101" s="24" t="e">
        <f>IF('Modelos de TES'!$J$3&gt;='Base de datos '!B101,'Base de datos '!E101,0)</f>
        <v>#NUM!</v>
      </c>
    </row>
    <row r="102" spans="2:6" x14ac:dyDescent="0.3">
      <c r="B102" s="19">
        <f t="shared" si="6"/>
        <v>100</v>
      </c>
      <c r="C102" s="20" t="e">
        <f t="shared" si="5"/>
        <v>#NUM!</v>
      </c>
      <c r="D102" s="21" t="e">
        <f t="shared" si="4"/>
        <v>#NUM!</v>
      </c>
      <c r="E102" s="22" t="e">
        <f>(IF('Modelos de TES'!$J$3='Base de datos '!B102,'Modelos de TES'!$K$3+'Modelos de TES'!$G$3,'Modelos de TES'!$K$3))/((1+'Modelos de TES'!$I$3)^('Base de datos '!D102/365))</f>
        <v>#NUM!</v>
      </c>
      <c r="F102" s="24" t="e">
        <f>IF('Modelos de TES'!$J$3&gt;='Base de datos '!B102,'Base de datos '!E102,0)</f>
        <v>#NUM!</v>
      </c>
    </row>
    <row r="103" spans="2:6" x14ac:dyDescent="0.3">
      <c r="B103" s="19">
        <f t="shared" si="6"/>
        <v>101</v>
      </c>
      <c r="C103" s="20" t="e">
        <f t="shared" si="5"/>
        <v>#NUM!</v>
      </c>
      <c r="D103" s="21" t="e">
        <f t="shared" si="4"/>
        <v>#NUM!</v>
      </c>
      <c r="E103" s="22" t="e">
        <f>(IF('Modelos de TES'!$J$3='Base de datos '!B103,'Modelos de TES'!$K$3+'Modelos de TES'!$G$3,'Modelos de TES'!$K$3))/((1+'Modelos de TES'!$I$3)^('Base de datos '!D103/365))</f>
        <v>#NUM!</v>
      </c>
      <c r="F103" s="24" t="e">
        <f>IF('Modelos de TES'!$J$3&gt;='Base de datos '!B103,'Base de datos '!E103,0)</f>
        <v>#NUM!</v>
      </c>
    </row>
    <row r="104" spans="2:6" x14ac:dyDescent="0.3">
      <c r="B104" s="19">
        <f t="shared" si="6"/>
        <v>102</v>
      </c>
      <c r="C104" s="20" t="e">
        <f t="shared" si="5"/>
        <v>#NUM!</v>
      </c>
      <c r="D104" s="21" t="e">
        <f t="shared" si="4"/>
        <v>#NUM!</v>
      </c>
      <c r="E104" s="22" t="e">
        <f>(IF('Modelos de TES'!$J$3='Base de datos '!B104,'Modelos de TES'!$K$3+'Modelos de TES'!$G$3,'Modelos de TES'!$K$3))/((1+'Modelos de TES'!$I$3)^('Base de datos '!D104/365))</f>
        <v>#NUM!</v>
      </c>
      <c r="F104" s="24" t="e">
        <f>IF('Modelos de TES'!$J$3&gt;='Base de datos '!B104,'Base de datos '!E104,0)</f>
        <v>#NUM!</v>
      </c>
    </row>
    <row r="105" spans="2:6" x14ac:dyDescent="0.3">
      <c r="B105" s="19">
        <f t="shared" si="6"/>
        <v>103</v>
      </c>
      <c r="C105" s="20" t="e">
        <f t="shared" si="5"/>
        <v>#NUM!</v>
      </c>
      <c r="D105" s="21" t="e">
        <f t="shared" si="4"/>
        <v>#NUM!</v>
      </c>
      <c r="E105" s="22" t="e">
        <f>(IF('Modelos de TES'!$J$3='Base de datos '!B105,'Modelos de TES'!$K$3+'Modelos de TES'!$G$3,'Modelos de TES'!$K$3))/((1+'Modelos de TES'!$I$3)^('Base de datos '!D105/365))</f>
        <v>#NUM!</v>
      </c>
      <c r="F105" s="24" t="e">
        <f>IF('Modelos de TES'!$J$3&gt;='Base de datos '!B105,'Base de datos '!E105,0)</f>
        <v>#NUM!</v>
      </c>
    </row>
    <row r="106" spans="2:6" x14ac:dyDescent="0.3">
      <c r="B106" s="19">
        <f t="shared" si="6"/>
        <v>104</v>
      </c>
      <c r="C106" s="20" t="e">
        <f t="shared" si="5"/>
        <v>#NUM!</v>
      </c>
      <c r="D106" s="21" t="e">
        <f t="shared" si="4"/>
        <v>#NUM!</v>
      </c>
      <c r="E106" s="22" t="e">
        <f>(IF('Modelos de TES'!$J$3='Base de datos '!B106,'Modelos de TES'!$K$3+'Modelos de TES'!$G$3,'Modelos de TES'!$K$3))/((1+'Modelos de TES'!$I$3)^('Base de datos '!D106/365))</f>
        <v>#NUM!</v>
      </c>
      <c r="F106" s="24" t="e">
        <f>IF('Modelos de TES'!$J$3&gt;='Base de datos '!B106,'Base de datos '!E106,0)</f>
        <v>#NUM!</v>
      </c>
    </row>
    <row r="107" spans="2:6" x14ac:dyDescent="0.3">
      <c r="B107" s="19">
        <f t="shared" si="6"/>
        <v>105</v>
      </c>
      <c r="C107" s="20" t="e">
        <f t="shared" si="5"/>
        <v>#NUM!</v>
      </c>
      <c r="D107" s="21" t="e">
        <f t="shared" si="4"/>
        <v>#NUM!</v>
      </c>
      <c r="E107" s="22" t="e">
        <f>(IF('Modelos de TES'!$J$3='Base de datos '!B107,'Modelos de TES'!$K$3+'Modelos de TES'!$G$3,'Modelos de TES'!$K$3))/((1+'Modelos de TES'!$I$3)^('Base de datos '!D107/365))</f>
        <v>#NUM!</v>
      </c>
      <c r="F107" s="24" t="e">
        <f>IF('Modelos de TES'!$J$3&gt;='Base de datos '!B107,'Base de datos '!E107,0)</f>
        <v>#NUM!</v>
      </c>
    </row>
    <row r="108" spans="2:6" x14ac:dyDescent="0.3">
      <c r="B108" s="19">
        <f t="shared" si="6"/>
        <v>106</v>
      </c>
      <c r="C108" s="20" t="e">
        <f t="shared" si="5"/>
        <v>#NUM!</v>
      </c>
      <c r="D108" s="21" t="e">
        <f t="shared" si="4"/>
        <v>#NUM!</v>
      </c>
      <c r="E108" s="22" t="e">
        <f>(IF('Modelos de TES'!$J$3='Base de datos '!B108,'Modelos de TES'!$K$3+'Modelos de TES'!$G$3,'Modelos de TES'!$K$3))/((1+'Modelos de TES'!$I$3)^('Base de datos '!D108/365))</f>
        <v>#NUM!</v>
      </c>
      <c r="F108" s="24" t="e">
        <f>IF('Modelos de TES'!$J$3&gt;='Base de datos '!B108,'Base de datos '!E108,0)</f>
        <v>#NUM!</v>
      </c>
    </row>
    <row r="109" spans="2:6" x14ac:dyDescent="0.3">
      <c r="B109" s="19">
        <f t="shared" si="6"/>
        <v>107</v>
      </c>
      <c r="C109" s="20" t="e">
        <f t="shared" si="5"/>
        <v>#NUM!</v>
      </c>
      <c r="D109" s="21" t="e">
        <f t="shared" si="4"/>
        <v>#NUM!</v>
      </c>
      <c r="E109" s="22" t="e">
        <f>(IF('Modelos de TES'!$J$3='Base de datos '!B109,'Modelos de TES'!$K$3+'Modelos de TES'!$G$3,'Modelos de TES'!$K$3))/((1+'Modelos de TES'!$I$3)^('Base de datos '!D109/365))</f>
        <v>#NUM!</v>
      </c>
      <c r="F109" s="24" t="e">
        <f>IF('Modelos de TES'!$J$3&gt;='Base de datos '!B109,'Base de datos '!E109,0)</f>
        <v>#NUM!</v>
      </c>
    </row>
    <row r="110" spans="2:6" x14ac:dyDescent="0.3">
      <c r="B110" s="19">
        <f t="shared" si="6"/>
        <v>108</v>
      </c>
      <c r="C110" s="20" t="e">
        <f t="shared" si="5"/>
        <v>#NUM!</v>
      </c>
      <c r="D110" s="21" t="e">
        <f t="shared" si="4"/>
        <v>#NUM!</v>
      </c>
      <c r="E110" s="22" t="e">
        <f>(IF('Modelos de TES'!$J$3='Base de datos '!B110,'Modelos de TES'!$K$3+'Modelos de TES'!$G$3,'Modelos de TES'!$K$3))/((1+'Modelos de TES'!$I$3)^('Base de datos '!D110/365))</f>
        <v>#NUM!</v>
      </c>
      <c r="F110" s="24" t="e">
        <f>IF('Modelos de TES'!$J$3&gt;='Base de datos '!B110,'Base de datos '!E110,0)</f>
        <v>#NUM!</v>
      </c>
    </row>
    <row r="111" spans="2:6" x14ac:dyDescent="0.3">
      <c r="B111" s="19">
        <f t="shared" si="6"/>
        <v>109</v>
      </c>
      <c r="C111" s="20" t="e">
        <f t="shared" si="5"/>
        <v>#NUM!</v>
      </c>
      <c r="D111" s="21" t="e">
        <f t="shared" si="4"/>
        <v>#NUM!</v>
      </c>
      <c r="E111" s="22" t="e">
        <f>(IF('Modelos de TES'!$J$3='Base de datos '!B111,'Modelos de TES'!$K$3+'Modelos de TES'!$G$3,'Modelos de TES'!$K$3))/((1+'Modelos de TES'!$I$3)^('Base de datos '!D111/365))</f>
        <v>#NUM!</v>
      </c>
      <c r="F111" s="24" t="e">
        <f>IF('Modelos de TES'!$J$3&gt;='Base de datos '!B111,'Base de datos '!E111,0)</f>
        <v>#NUM!</v>
      </c>
    </row>
    <row r="112" spans="2:6" x14ac:dyDescent="0.3">
      <c r="B112" s="19">
        <f t="shared" si="6"/>
        <v>110</v>
      </c>
      <c r="C112" s="20" t="e">
        <f t="shared" si="5"/>
        <v>#NUM!</v>
      </c>
      <c r="D112" s="21" t="e">
        <f t="shared" si="4"/>
        <v>#NUM!</v>
      </c>
      <c r="E112" s="22" t="e">
        <f>(IF('Modelos de TES'!$J$3='Base de datos '!B112,'Modelos de TES'!$K$3+'Modelos de TES'!$G$3,'Modelos de TES'!$K$3))/((1+'Modelos de TES'!$I$3)^('Base de datos '!D112/365))</f>
        <v>#NUM!</v>
      </c>
      <c r="F112" s="24" t="e">
        <f>IF('Modelos de TES'!$J$3&gt;='Base de datos '!B112,'Base de datos '!E112,0)</f>
        <v>#NUM!</v>
      </c>
    </row>
    <row r="113" spans="2:6" x14ac:dyDescent="0.3">
      <c r="B113" s="19">
        <f t="shared" si="6"/>
        <v>111</v>
      </c>
      <c r="C113" s="20" t="e">
        <f t="shared" si="5"/>
        <v>#NUM!</v>
      </c>
      <c r="D113" s="21" t="e">
        <f t="shared" si="4"/>
        <v>#NUM!</v>
      </c>
      <c r="E113" s="22" t="e">
        <f>(IF('Modelos de TES'!$J$3='Base de datos '!B113,'Modelos de TES'!$K$3+'Modelos de TES'!$G$3,'Modelos de TES'!$K$3))/((1+'Modelos de TES'!$I$3)^('Base de datos '!D113/365))</f>
        <v>#NUM!</v>
      </c>
      <c r="F113" s="24" t="e">
        <f>IF('Modelos de TES'!$J$3&gt;='Base de datos '!B113,'Base de datos '!E113,0)</f>
        <v>#NUM!</v>
      </c>
    </row>
    <row r="114" spans="2:6" x14ac:dyDescent="0.3">
      <c r="B114" s="19">
        <f t="shared" si="6"/>
        <v>112</v>
      </c>
      <c r="C114" s="20" t="e">
        <f t="shared" si="5"/>
        <v>#NUM!</v>
      </c>
      <c r="D114" s="21" t="e">
        <f t="shared" si="4"/>
        <v>#NUM!</v>
      </c>
      <c r="E114" s="22" t="e">
        <f>(IF('Modelos de TES'!$J$3='Base de datos '!B114,'Modelos de TES'!$K$3+'Modelos de TES'!$G$3,'Modelos de TES'!$K$3))/((1+'Modelos de TES'!$I$3)^('Base de datos '!D114/365))</f>
        <v>#NUM!</v>
      </c>
      <c r="F114" s="24" t="e">
        <f>IF('Modelos de TES'!$J$3&gt;='Base de datos '!B114,'Base de datos '!E114,0)</f>
        <v>#NUM!</v>
      </c>
    </row>
    <row r="115" spans="2:6" x14ac:dyDescent="0.3">
      <c r="B115" s="19">
        <f t="shared" si="6"/>
        <v>113</v>
      </c>
      <c r="C115" s="20" t="e">
        <f t="shared" si="5"/>
        <v>#NUM!</v>
      </c>
      <c r="D115" s="21" t="e">
        <f t="shared" si="4"/>
        <v>#NUM!</v>
      </c>
      <c r="E115" s="22" t="e">
        <f>(IF('Modelos de TES'!$J$3='Base de datos '!B115,'Modelos de TES'!$K$3+'Modelos de TES'!$G$3,'Modelos de TES'!$K$3))/((1+'Modelos de TES'!$I$3)^('Base de datos '!D115/365))</f>
        <v>#NUM!</v>
      </c>
      <c r="F115" s="24" t="e">
        <f>IF('Modelos de TES'!$J$3&gt;='Base de datos '!B115,'Base de datos '!E115,0)</f>
        <v>#NUM!</v>
      </c>
    </row>
    <row r="116" spans="2:6" x14ac:dyDescent="0.3">
      <c r="B116" s="19">
        <f t="shared" si="6"/>
        <v>114</v>
      </c>
      <c r="C116" s="20" t="e">
        <f t="shared" si="5"/>
        <v>#NUM!</v>
      </c>
      <c r="D116" s="21" t="e">
        <f t="shared" si="4"/>
        <v>#NUM!</v>
      </c>
      <c r="E116" s="22" t="e">
        <f>(IF('Modelos de TES'!$J$3='Base de datos '!B116,'Modelos de TES'!$K$3+'Modelos de TES'!$G$3,'Modelos de TES'!$K$3))/((1+'Modelos de TES'!$I$3)^('Base de datos '!D116/365))</f>
        <v>#NUM!</v>
      </c>
      <c r="F116" s="24" t="e">
        <f>IF('Modelos de TES'!$J$3&gt;='Base de datos '!B116,'Base de datos '!E116,0)</f>
        <v>#NUM!</v>
      </c>
    </row>
    <row r="117" spans="2:6" x14ac:dyDescent="0.3">
      <c r="B117" s="19">
        <f t="shared" si="6"/>
        <v>115</v>
      </c>
      <c r="C117" s="20" t="e">
        <f t="shared" si="5"/>
        <v>#NUM!</v>
      </c>
      <c r="D117" s="21" t="e">
        <f t="shared" si="4"/>
        <v>#NUM!</v>
      </c>
      <c r="E117" s="22" t="e">
        <f>(IF('Modelos de TES'!$J$3='Base de datos '!B117,'Modelos de TES'!$K$3+'Modelos de TES'!$G$3,'Modelos de TES'!$K$3))/((1+'Modelos de TES'!$I$3)^('Base de datos '!D117/365))</f>
        <v>#NUM!</v>
      </c>
      <c r="F117" s="24" t="e">
        <f>IF('Modelos de TES'!$J$3&gt;='Base de datos '!B117,'Base de datos '!E117,0)</f>
        <v>#NUM!</v>
      </c>
    </row>
    <row r="118" spans="2:6" x14ac:dyDescent="0.3">
      <c r="B118" s="19">
        <f t="shared" si="6"/>
        <v>116</v>
      </c>
      <c r="C118" s="20" t="e">
        <f t="shared" si="5"/>
        <v>#NUM!</v>
      </c>
      <c r="D118" s="21" t="e">
        <f t="shared" si="4"/>
        <v>#NUM!</v>
      </c>
      <c r="E118" s="22" t="e">
        <f>(IF('Modelos de TES'!$J$3='Base de datos '!B118,'Modelos de TES'!$K$3+'Modelos de TES'!$G$3,'Modelos de TES'!$K$3))/((1+'Modelos de TES'!$I$3)^('Base de datos '!D118/365))</f>
        <v>#NUM!</v>
      </c>
      <c r="F118" s="24" t="e">
        <f>IF('Modelos de TES'!$J$3&gt;='Base de datos '!B118,'Base de datos '!E118,0)</f>
        <v>#NUM!</v>
      </c>
    </row>
    <row r="119" spans="2:6" x14ac:dyDescent="0.3">
      <c r="B119" s="19">
        <f t="shared" si="6"/>
        <v>117</v>
      </c>
      <c r="C119" s="20" t="e">
        <f t="shared" si="5"/>
        <v>#NUM!</v>
      </c>
      <c r="D119" s="21" t="e">
        <f t="shared" si="4"/>
        <v>#NUM!</v>
      </c>
      <c r="E119" s="22" t="e">
        <f>(IF('Modelos de TES'!$J$3='Base de datos '!B119,'Modelos de TES'!$K$3+'Modelos de TES'!$G$3,'Modelos de TES'!$K$3))/((1+'Modelos de TES'!$I$3)^('Base de datos '!D119/365))</f>
        <v>#NUM!</v>
      </c>
      <c r="F119" s="24" t="e">
        <f>IF('Modelos de TES'!$J$3&gt;='Base de datos '!B119,'Base de datos '!E119,0)</f>
        <v>#NUM!</v>
      </c>
    </row>
    <row r="120" spans="2:6" x14ac:dyDescent="0.3">
      <c r="B120" s="19">
        <f t="shared" si="6"/>
        <v>118</v>
      </c>
      <c r="C120" s="20" t="e">
        <f t="shared" si="5"/>
        <v>#NUM!</v>
      </c>
      <c r="D120" s="21" t="e">
        <f t="shared" si="4"/>
        <v>#NUM!</v>
      </c>
      <c r="E120" s="22" t="e">
        <f>(IF('Modelos de TES'!$J$3='Base de datos '!B120,'Modelos de TES'!$K$3+'Modelos de TES'!$G$3,'Modelos de TES'!$K$3))/((1+'Modelos de TES'!$I$3)^('Base de datos '!D120/365))</f>
        <v>#NUM!</v>
      </c>
      <c r="F120" s="24" t="e">
        <f>IF('Modelos de TES'!$J$3&gt;='Base de datos '!B120,'Base de datos '!E120,0)</f>
        <v>#NUM!</v>
      </c>
    </row>
    <row r="121" spans="2:6" x14ac:dyDescent="0.3">
      <c r="B121" s="19">
        <f t="shared" si="6"/>
        <v>119</v>
      </c>
      <c r="C121" s="20" t="e">
        <f t="shared" si="5"/>
        <v>#NUM!</v>
      </c>
      <c r="D121" s="21" t="e">
        <f t="shared" si="4"/>
        <v>#NUM!</v>
      </c>
      <c r="E121" s="22" t="e">
        <f>(IF('Modelos de TES'!$J$3='Base de datos '!B121,'Modelos de TES'!$K$3+'Modelos de TES'!$G$3,'Modelos de TES'!$K$3))/((1+'Modelos de TES'!$I$3)^('Base de datos '!D121/365))</f>
        <v>#NUM!</v>
      </c>
      <c r="F121" s="24" t="e">
        <f>IF('Modelos de TES'!$J$3&gt;='Base de datos '!B121,'Base de datos '!E121,0)</f>
        <v>#NUM!</v>
      </c>
    </row>
    <row r="122" spans="2:6" x14ac:dyDescent="0.3">
      <c r="B122" s="19">
        <f t="shared" si="6"/>
        <v>120</v>
      </c>
      <c r="C122" s="20" t="e">
        <f t="shared" si="5"/>
        <v>#NUM!</v>
      </c>
      <c r="D122" s="21" t="e">
        <f t="shared" si="4"/>
        <v>#NUM!</v>
      </c>
      <c r="E122" s="22" t="e">
        <f>(IF('Modelos de TES'!$J$3='Base de datos '!B122,'Modelos de TES'!$K$3+'Modelos de TES'!$G$3,'Modelos de TES'!$K$3))/((1+'Modelos de TES'!$I$3)^('Base de datos '!D122/365))</f>
        <v>#NUM!</v>
      </c>
      <c r="F122" s="24" t="e">
        <f>IF('Modelos de TES'!$J$3&gt;='Base de datos '!B122,'Base de datos '!E122,0)</f>
        <v>#NUM!</v>
      </c>
    </row>
    <row r="123" spans="2:6" x14ac:dyDescent="0.3">
      <c r="B123" s="19">
        <f t="shared" si="6"/>
        <v>121</v>
      </c>
      <c r="C123" s="20" t="e">
        <f t="shared" si="5"/>
        <v>#NUM!</v>
      </c>
      <c r="D123" s="21" t="e">
        <f t="shared" si="4"/>
        <v>#NUM!</v>
      </c>
      <c r="E123" s="22" t="e">
        <f>(IF('Modelos de TES'!$J$3='Base de datos '!B123,'Modelos de TES'!$K$3+'Modelos de TES'!$G$3,'Modelos de TES'!$K$3))/((1+'Modelos de TES'!$I$3)^('Base de datos '!D123/365))</f>
        <v>#NUM!</v>
      </c>
      <c r="F123" s="24" t="e">
        <f>IF('Modelos de TES'!$J$3&gt;='Base de datos '!B123,'Base de datos '!E123,0)</f>
        <v>#NUM!</v>
      </c>
    </row>
    <row r="124" spans="2:6" x14ac:dyDescent="0.3">
      <c r="B124" s="19">
        <f t="shared" si="6"/>
        <v>122</v>
      </c>
      <c r="C124" s="20" t="e">
        <f t="shared" si="5"/>
        <v>#NUM!</v>
      </c>
      <c r="D124" s="21" t="e">
        <f t="shared" si="4"/>
        <v>#NUM!</v>
      </c>
      <c r="E124" s="22" t="e">
        <f>(IF('Modelos de TES'!$J$3='Base de datos '!B124,'Modelos de TES'!$K$3+'Modelos de TES'!$G$3,'Modelos de TES'!$K$3))/((1+'Modelos de TES'!$I$3)^('Base de datos '!D124/365))</f>
        <v>#NUM!</v>
      </c>
      <c r="F124" s="24" t="e">
        <f>IF('Modelos de TES'!$J$3&gt;='Base de datos '!B124,'Base de datos '!E124,0)</f>
        <v>#NUM!</v>
      </c>
    </row>
    <row r="125" spans="2:6" x14ac:dyDescent="0.3">
      <c r="B125" s="19">
        <f t="shared" si="6"/>
        <v>123</v>
      </c>
      <c r="C125" s="20" t="e">
        <f t="shared" si="5"/>
        <v>#NUM!</v>
      </c>
      <c r="D125" s="21" t="e">
        <f t="shared" si="4"/>
        <v>#NUM!</v>
      </c>
      <c r="E125" s="22" t="e">
        <f>(IF('Modelos de TES'!$J$3='Base de datos '!B125,'Modelos de TES'!$K$3+'Modelos de TES'!$G$3,'Modelos de TES'!$K$3))/((1+'Modelos de TES'!$I$3)^('Base de datos '!D125/365))</f>
        <v>#NUM!</v>
      </c>
      <c r="F125" s="24" t="e">
        <f>IF('Modelos de TES'!$J$3&gt;='Base de datos '!B125,'Base de datos '!E125,0)</f>
        <v>#NUM!</v>
      </c>
    </row>
    <row r="126" spans="2:6" x14ac:dyDescent="0.3">
      <c r="B126" s="19">
        <f t="shared" si="6"/>
        <v>124</v>
      </c>
      <c r="C126" s="20" t="e">
        <f t="shared" si="5"/>
        <v>#NUM!</v>
      </c>
      <c r="D126" s="21" t="e">
        <f t="shared" si="4"/>
        <v>#NUM!</v>
      </c>
      <c r="E126" s="22" t="e">
        <f>(IF('Modelos de TES'!$J$3='Base de datos '!B126,'Modelos de TES'!$K$3+'Modelos de TES'!$G$3,'Modelos de TES'!$K$3))/((1+'Modelos de TES'!$I$3)^('Base de datos '!D126/365))</f>
        <v>#NUM!</v>
      </c>
      <c r="F126" s="24" t="e">
        <f>IF('Modelos de TES'!$J$3&gt;='Base de datos '!B126,'Base de datos '!E126,0)</f>
        <v>#NUM!</v>
      </c>
    </row>
    <row r="127" spans="2:6" x14ac:dyDescent="0.3">
      <c r="B127" s="19">
        <f t="shared" si="6"/>
        <v>125</v>
      </c>
      <c r="C127" s="20" t="e">
        <f t="shared" si="5"/>
        <v>#NUM!</v>
      </c>
      <c r="D127" s="21" t="e">
        <f t="shared" si="4"/>
        <v>#NUM!</v>
      </c>
      <c r="E127" s="22" t="e">
        <f>(IF('Modelos de TES'!$J$3='Base de datos '!B127,'Modelos de TES'!$K$3+'Modelos de TES'!$G$3,'Modelos de TES'!$K$3))/((1+'Modelos de TES'!$I$3)^('Base de datos '!D127/365))</f>
        <v>#NUM!</v>
      </c>
      <c r="F127" s="24" t="e">
        <f>IF('Modelos de TES'!$J$3&gt;='Base de datos '!B127,'Base de datos '!E127,0)</f>
        <v>#NUM!</v>
      </c>
    </row>
    <row r="128" spans="2:6" x14ac:dyDescent="0.3">
      <c r="B128" s="19">
        <f t="shared" si="6"/>
        <v>126</v>
      </c>
      <c r="C128" s="20" t="e">
        <f t="shared" si="5"/>
        <v>#NUM!</v>
      </c>
      <c r="D128" s="21" t="e">
        <f t="shared" si="4"/>
        <v>#NUM!</v>
      </c>
      <c r="E128" s="22" t="e">
        <f>(IF('Modelos de TES'!$J$3='Base de datos '!B128,'Modelos de TES'!$K$3+'Modelos de TES'!$G$3,'Modelos de TES'!$K$3))/((1+'Modelos de TES'!$I$3)^('Base de datos '!D128/365))</f>
        <v>#NUM!</v>
      </c>
      <c r="F128" s="24" t="e">
        <f>IF('Modelos de TES'!$J$3&gt;='Base de datos '!B128,'Base de datos '!E128,0)</f>
        <v>#NUM!</v>
      </c>
    </row>
    <row r="129" spans="2:6" x14ac:dyDescent="0.3">
      <c r="B129" s="19">
        <f t="shared" si="6"/>
        <v>127</v>
      </c>
      <c r="C129" s="20" t="e">
        <f t="shared" si="5"/>
        <v>#NUM!</v>
      </c>
      <c r="D129" s="21" t="e">
        <f t="shared" si="4"/>
        <v>#NUM!</v>
      </c>
      <c r="E129" s="22" t="e">
        <f>(IF('Modelos de TES'!$J$3='Base de datos '!B129,'Modelos de TES'!$K$3+'Modelos de TES'!$G$3,'Modelos de TES'!$K$3))/((1+'Modelos de TES'!$I$3)^('Base de datos '!D129/365))</f>
        <v>#NUM!</v>
      </c>
      <c r="F129" s="24" t="e">
        <f>IF('Modelos de TES'!$J$3&gt;='Base de datos '!B129,'Base de datos '!E129,0)</f>
        <v>#NUM!</v>
      </c>
    </row>
    <row r="130" spans="2:6" x14ac:dyDescent="0.3">
      <c r="B130" s="19">
        <f t="shared" si="6"/>
        <v>128</v>
      </c>
      <c r="C130" s="20" t="e">
        <f t="shared" si="5"/>
        <v>#NUM!</v>
      </c>
      <c r="D130" s="21" t="e">
        <f t="shared" si="4"/>
        <v>#NUM!</v>
      </c>
      <c r="E130" s="22" t="e">
        <f>(IF('Modelos de TES'!$J$3='Base de datos '!B130,'Modelos de TES'!$K$3+'Modelos de TES'!$G$3,'Modelos de TES'!$K$3))/((1+'Modelos de TES'!$I$3)^('Base de datos '!D130/365))</f>
        <v>#NUM!</v>
      </c>
      <c r="F130" s="24" t="e">
        <f>IF('Modelos de TES'!$J$3&gt;='Base de datos '!B130,'Base de datos '!E130,0)</f>
        <v>#NUM!</v>
      </c>
    </row>
    <row r="131" spans="2:6" x14ac:dyDescent="0.3">
      <c r="B131" s="19">
        <f t="shared" si="6"/>
        <v>129</v>
      </c>
      <c r="C131" s="20" t="e">
        <f t="shared" si="5"/>
        <v>#NUM!</v>
      </c>
      <c r="D131" s="21" t="e">
        <f t="shared" si="4"/>
        <v>#NUM!</v>
      </c>
      <c r="E131" s="22" t="e">
        <f>(IF('Modelos de TES'!$J$3='Base de datos '!B131,'Modelos de TES'!$K$3+'Modelos de TES'!$G$3,'Modelos de TES'!$K$3))/((1+'Modelos de TES'!$I$3)^('Base de datos '!D131/365))</f>
        <v>#NUM!</v>
      </c>
      <c r="F131" s="24" t="e">
        <f>IF('Modelos de TES'!$J$3&gt;='Base de datos '!B131,'Base de datos '!E131,0)</f>
        <v>#NUM!</v>
      </c>
    </row>
    <row r="132" spans="2:6" x14ac:dyDescent="0.3">
      <c r="B132" s="19">
        <f t="shared" si="6"/>
        <v>130</v>
      </c>
      <c r="C132" s="20" t="e">
        <f t="shared" si="5"/>
        <v>#NUM!</v>
      </c>
      <c r="D132" s="21" t="e">
        <f t="shared" si="4"/>
        <v>#NUM!</v>
      </c>
      <c r="E132" s="22" t="e">
        <f>(IF('Modelos de TES'!$J$3='Base de datos '!B132,'Modelos de TES'!$K$3+'Modelos de TES'!$G$3,'Modelos de TES'!$K$3))/((1+'Modelos de TES'!$I$3)^('Base de datos '!D132/365))</f>
        <v>#NUM!</v>
      </c>
      <c r="F132" s="24" t="e">
        <f>IF('Modelos de TES'!$J$3&gt;='Base de datos '!B132,'Base de datos '!E132,0)</f>
        <v>#NUM!</v>
      </c>
    </row>
    <row r="133" spans="2:6" x14ac:dyDescent="0.3">
      <c r="B133" s="19">
        <f t="shared" si="6"/>
        <v>131</v>
      </c>
      <c r="C133" s="20" t="e">
        <f t="shared" si="5"/>
        <v>#NUM!</v>
      </c>
      <c r="D133" s="21" t="e">
        <f t="shared" ref="D133:D196" si="7">D132+365</f>
        <v>#NUM!</v>
      </c>
      <c r="E133" s="22" t="e">
        <f>(IF('Modelos de TES'!$J$3='Base de datos '!B133,'Modelos de TES'!$K$3+'Modelos de TES'!$G$3,'Modelos de TES'!$K$3))/((1+'Modelos de TES'!$I$3)^('Base de datos '!D133/365))</f>
        <v>#NUM!</v>
      </c>
      <c r="F133" s="24" t="e">
        <f>IF('Modelos de TES'!$J$3&gt;='Base de datos '!B133,'Base de datos '!E133,0)</f>
        <v>#NUM!</v>
      </c>
    </row>
    <row r="134" spans="2:6" x14ac:dyDescent="0.3">
      <c r="B134" s="19">
        <f t="shared" si="6"/>
        <v>132</v>
      </c>
      <c r="C134" s="20" t="e">
        <f t="shared" si="5"/>
        <v>#NUM!</v>
      </c>
      <c r="D134" s="21" t="e">
        <f t="shared" si="7"/>
        <v>#NUM!</v>
      </c>
      <c r="E134" s="22" t="e">
        <f>(IF('Modelos de TES'!$J$3='Base de datos '!B134,'Modelos de TES'!$K$3+'Modelos de TES'!$G$3,'Modelos de TES'!$K$3))/((1+'Modelos de TES'!$I$3)^('Base de datos '!D134/365))</f>
        <v>#NUM!</v>
      </c>
      <c r="F134" s="24" t="e">
        <f>IF('Modelos de TES'!$J$3&gt;='Base de datos '!B134,'Base de datos '!E134,0)</f>
        <v>#NUM!</v>
      </c>
    </row>
    <row r="135" spans="2:6" x14ac:dyDescent="0.3">
      <c r="B135" s="19">
        <f t="shared" si="6"/>
        <v>133</v>
      </c>
      <c r="C135" s="20" t="e">
        <f t="shared" si="5"/>
        <v>#NUM!</v>
      </c>
      <c r="D135" s="21" t="e">
        <f t="shared" si="7"/>
        <v>#NUM!</v>
      </c>
      <c r="E135" s="22" t="e">
        <f>(IF('Modelos de TES'!$J$3='Base de datos '!B135,'Modelos de TES'!$K$3+'Modelos de TES'!$G$3,'Modelos de TES'!$K$3))/((1+'Modelos de TES'!$I$3)^('Base de datos '!D135/365))</f>
        <v>#NUM!</v>
      </c>
      <c r="F135" s="24" t="e">
        <f>IF('Modelos de TES'!$J$3&gt;='Base de datos '!B135,'Base de datos '!E135,0)</f>
        <v>#NUM!</v>
      </c>
    </row>
    <row r="136" spans="2:6" x14ac:dyDescent="0.3">
      <c r="B136" s="19">
        <f t="shared" si="6"/>
        <v>134</v>
      </c>
      <c r="C136" s="20" t="e">
        <f t="shared" si="5"/>
        <v>#NUM!</v>
      </c>
      <c r="D136" s="21" t="e">
        <f t="shared" si="7"/>
        <v>#NUM!</v>
      </c>
      <c r="E136" s="22" t="e">
        <f>(IF('Modelos de TES'!$J$3='Base de datos '!B136,'Modelos de TES'!$K$3+'Modelos de TES'!$G$3,'Modelos de TES'!$K$3))/((1+'Modelos de TES'!$I$3)^('Base de datos '!D136/365))</f>
        <v>#NUM!</v>
      </c>
      <c r="F136" s="24" t="e">
        <f>IF('Modelos de TES'!$J$3&gt;='Base de datos '!B136,'Base de datos '!E136,0)</f>
        <v>#NUM!</v>
      </c>
    </row>
    <row r="137" spans="2:6" x14ac:dyDescent="0.3">
      <c r="B137" s="19">
        <f t="shared" si="6"/>
        <v>135</v>
      </c>
      <c r="C137" s="20" t="e">
        <f t="shared" si="5"/>
        <v>#NUM!</v>
      </c>
      <c r="D137" s="21" t="e">
        <f t="shared" si="7"/>
        <v>#NUM!</v>
      </c>
      <c r="E137" s="22" t="e">
        <f>(IF('Modelos de TES'!$J$3='Base de datos '!B137,'Modelos de TES'!$K$3+'Modelos de TES'!$G$3,'Modelos de TES'!$K$3))/((1+'Modelos de TES'!$I$3)^('Base de datos '!D137/365))</f>
        <v>#NUM!</v>
      </c>
      <c r="F137" s="24" t="e">
        <f>IF('Modelos de TES'!$J$3&gt;='Base de datos '!B137,'Base de datos '!E137,0)</f>
        <v>#NUM!</v>
      </c>
    </row>
    <row r="138" spans="2:6" x14ac:dyDescent="0.3">
      <c r="B138" s="19">
        <f t="shared" si="6"/>
        <v>136</v>
      </c>
      <c r="C138" s="20" t="e">
        <f t="shared" si="5"/>
        <v>#NUM!</v>
      </c>
      <c r="D138" s="21" t="e">
        <f t="shared" si="7"/>
        <v>#NUM!</v>
      </c>
      <c r="E138" s="22" t="e">
        <f>(IF('Modelos de TES'!$J$3='Base de datos '!B138,'Modelos de TES'!$K$3+'Modelos de TES'!$G$3,'Modelos de TES'!$K$3))/((1+'Modelos de TES'!$I$3)^('Base de datos '!D138/365))</f>
        <v>#NUM!</v>
      </c>
      <c r="F138" s="24" t="e">
        <f>IF('Modelos de TES'!$J$3&gt;='Base de datos '!B138,'Base de datos '!E138,0)</f>
        <v>#NUM!</v>
      </c>
    </row>
    <row r="139" spans="2:6" x14ac:dyDescent="0.3">
      <c r="B139" s="19">
        <f t="shared" si="6"/>
        <v>137</v>
      </c>
      <c r="C139" s="20" t="e">
        <f t="shared" si="5"/>
        <v>#NUM!</v>
      </c>
      <c r="D139" s="21" t="e">
        <f t="shared" si="7"/>
        <v>#NUM!</v>
      </c>
      <c r="E139" s="22" t="e">
        <f>(IF('Modelos de TES'!$J$3='Base de datos '!B139,'Modelos de TES'!$K$3+'Modelos de TES'!$G$3,'Modelos de TES'!$K$3))/((1+'Modelos de TES'!$I$3)^('Base de datos '!D139/365))</f>
        <v>#NUM!</v>
      </c>
      <c r="F139" s="24" t="e">
        <f>IF('Modelos de TES'!$J$3&gt;='Base de datos '!B139,'Base de datos '!E139,0)</f>
        <v>#NUM!</v>
      </c>
    </row>
    <row r="140" spans="2:6" x14ac:dyDescent="0.3">
      <c r="B140" s="19">
        <f t="shared" si="6"/>
        <v>138</v>
      </c>
      <c r="C140" s="20" t="e">
        <f t="shared" si="5"/>
        <v>#NUM!</v>
      </c>
      <c r="D140" s="21" t="e">
        <f t="shared" si="7"/>
        <v>#NUM!</v>
      </c>
      <c r="E140" s="22" t="e">
        <f>(IF('Modelos de TES'!$J$3='Base de datos '!B140,'Modelos de TES'!$K$3+'Modelos de TES'!$G$3,'Modelos de TES'!$K$3))/((1+'Modelos de TES'!$I$3)^('Base de datos '!D140/365))</f>
        <v>#NUM!</v>
      </c>
      <c r="F140" s="24" t="e">
        <f>IF('Modelos de TES'!$J$3&gt;='Base de datos '!B140,'Base de datos '!E140,0)</f>
        <v>#NUM!</v>
      </c>
    </row>
    <row r="141" spans="2:6" x14ac:dyDescent="0.3">
      <c r="B141" s="19">
        <f t="shared" si="6"/>
        <v>139</v>
      </c>
      <c r="C141" s="20" t="e">
        <f t="shared" ref="C141:C204" si="8">COUPNCD(C140,$A$2,1,3)</f>
        <v>#NUM!</v>
      </c>
      <c r="D141" s="21" t="e">
        <f t="shared" si="7"/>
        <v>#NUM!</v>
      </c>
      <c r="E141" s="22" t="e">
        <f>(IF('Modelos de TES'!$J$3='Base de datos '!B141,'Modelos de TES'!$K$3+'Modelos de TES'!$G$3,'Modelos de TES'!$K$3))/((1+'Modelos de TES'!$I$3)^('Base de datos '!D141/365))</f>
        <v>#NUM!</v>
      </c>
      <c r="F141" s="24" t="e">
        <f>IF('Modelos de TES'!$J$3&gt;='Base de datos '!B141,'Base de datos '!E141,0)</f>
        <v>#NUM!</v>
      </c>
    </row>
    <row r="142" spans="2:6" x14ac:dyDescent="0.3">
      <c r="B142" s="19">
        <f t="shared" ref="B142:B205" si="9">B141+1</f>
        <v>140</v>
      </c>
      <c r="C142" s="20" t="e">
        <f t="shared" si="8"/>
        <v>#NUM!</v>
      </c>
      <c r="D142" s="21" t="e">
        <f t="shared" si="7"/>
        <v>#NUM!</v>
      </c>
      <c r="E142" s="22" t="e">
        <f>(IF('Modelos de TES'!$J$3='Base de datos '!B142,'Modelos de TES'!$K$3+'Modelos de TES'!$G$3,'Modelos de TES'!$K$3))/((1+'Modelos de TES'!$I$3)^('Base de datos '!D142/365))</f>
        <v>#NUM!</v>
      </c>
      <c r="F142" s="24" t="e">
        <f>IF('Modelos de TES'!$J$3&gt;='Base de datos '!B142,'Base de datos '!E142,0)</f>
        <v>#NUM!</v>
      </c>
    </row>
    <row r="143" spans="2:6" x14ac:dyDescent="0.3">
      <c r="B143" s="19">
        <f t="shared" si="9"/>
        <v>141</v>
      </c>
      <c r="C143" s="20" t="e">
        <f t="shared" si="8"/>
        <v>#NUM!</v>
      </c>
      <c r="D143" s="21" t="e">
        <f t="shared" si="7"/>
        <v>#NUM!</v>
      </c>
      <c r="E143" s="22" t="e">
        <f>(IF('Modelos de TES'!$J$3='Base de datos '!B143,'Modelos de TES'!$K$3+'Modelos de TES'!$G$3,'Modelos de TES'!$K$3))/((1+'Modelos de TES'!$I$3)^('Base de datos '!D143/365))</f>
        <v>#NUM!</v>
      </c>
      <c r="F143" s="24" t="e">
        <f>IF('Modelos de TES'!$J$3&gt;='Base de datos '!B143,'Base de datos '!E143,0)</f>
        <v>#NUM!</v>
      </c>
    </row>
    <row r="144" spans="2:6" x14ac:dyDescent="0.3">
      <c r="B144" s="19">
        <f t="shared" si="9"/>
        <v>142</v>
      </c>
      <c r="C144" s="20" t="e">
        <f t="shared" si="8"/>
        <v>#NUM!</v>
      </c>
      <c r="D144" s="21" t="e">
        <f t="shared" si="7"/>
        <v>#NUM!</v>
      </c>
      <c r="E144" s="22" t="e">
        <f>(IF('Modelos de TES'!$J$3='Base de datos '!B144,'Modelos de TES'!$K$3+'Modelos de TES'!$G$3,'Modelos de TES'!$K$3))/((1+'Modelos de TES'!$I$3)^('Base de datos '!D144/365))</f>
        <v>#NUM!</v>
      </c>
      <c r="F144" s="24" t="e">
        <f>IF('Modelos de TES'!$J$3&gt;='Base de datos '!B144,'Base de datos '!E144,0)</f>
        <v>#NUM!</v>
      </c>
    </row>
    <row r="145" spans="2:6" x14ac:dyDescent="0.3">
      <c r="B145" s="19">
        <f t="shared" si="9"/>
        <v>143</v>
      </c>
      <c r="C145" s="20" t="e">
        <f t="shared" si="8"/>
        <v>#NUM!</v>
      </c>
      <c r="D145" s="21" t="e">
        <f t="shared" si="7"/>
        <v>#NUM!</v>
      </c>
      <c r="E145" s="22" t="e">
        <f>(IF('Modelos de TES'!$J$3='Base de datos '!B145,'Modelos de TES'!$K$3+'Modelos de TES'!$G$3,'Modelos de TES'!$K$3))/((1+'Modelos de TES'!$I$3)^('Base de datos '!D145/365))</f>
        <v>#NUM!</v>
      </c>
      <c r="F145" s="24" t="e">
        <f>IF('Modelos de TES'!$J$3&gt;='Base de datos '!B145,'Base de datos '!E145,0)</f>
        <v>#NUM!</v>
      </c>
    </row>
    <row r="146" spans="2:6" x14ac:dyDescent="0.3">
      <c r="B146" s="19">
        <f t="shared" si="9"/>
        <v>144</v>
      </c>
      <c r="C146" s="20" t="e">
        <f t="shared" si="8"/>
        <v>#NUM!</v>
      </c>
      <c r="D146" s="21" t="e">
        <f t="shared" si="7"/>
        <v>#NUM!</v>
      </c>
      <c r="E146" s="22" t="e">
        <f>(IF('Modelos de TES'!$J$3='Base de datos '!B146,'Modelos de TES'!$K$3+'Modelos de TES'!$G$3,'Modelos de TES'!$K$3))/((1+'Modelos de TES'!$I$3)^('Base de datos '!D146/365))</f>
        <v>#NUM!</v>
      </c>
      <c r="F146" s="24" t="e">
        <f>IF('Modelos de TES'!$J$3&gt;='Base de datos '!B146,'Base de datos '!E146,0)</f>
        <v>#NUM!</v>
      </c>
    </row>
    <row r="147" spans="2:6" x14ac:dyDescent="0.3">
      <c r="B147" s="19">
        <f t="shared" si="9"/>
        <v>145</v>
      </c>
      <c r="C147" s="20" t="e">
        <f t="shared" si="8"/>
        <v>#NUM!</v>
      </c>
      <c r="D147" s="21" t="e">
        <f t="shared" si="7"/>
        <v>#NUM!</v>
      </c>
      <c r="E147" s="22" t="e">
        <f>(IF('Modelos de TES'!$J$3='Base de datos '!B147,'Modelos de TES'!$K$3+'Modelos de TES'!$G$3,'Modelos de TES'!$K$3))/((1+'Modelos de TES'!$I$3)^('Base de datos '!D147/365))</f>
        <v>#NUM!</v>
      </c>
      <c r="F147" s="24" t="e">
        <f>IF('Modelos de TES'!$J$3&gt;='Base de datos '!B147,'Base de datos '!E147,0)</f>
        <v>#NUM!</v>
      </c>
    </row>
    <row r="148" spans="2:6" x14ac:dyDescent="0.3">
      <c r="B148" s="19">
        <f t="shared" si="9"/>
        <v>146</v>
      </c>
      <c r="C148" s="20" t="e">
        <f t="shared" si="8"/>
        <v>#NUM!</v>
      </c>
      <c r="D148" s="21" t="e">
        <f t="shared" si="7"/>
        <v>#NUM!</v>
      </c>
      <c r="E148" s="22" t="e">
        <f>(IF('Modelos de TES'!$J$3='Base de datos '!B148,'Modelos de TES'!$K$3+'Modelos de TES'!$G$3,'Modelos de TES'!$K$3))/((1+'Modelos de TES'!$I$3)^('Base de datos '!D148/365))</f>
        <v>#NUM!</v>
      </c>
      <c r="F148" s="24" t="e">
        <f>IF('Modelos de TES'!$J$3&gt;='Base de datos '!B148,'Base de datos '!E148,0)</f>
        <v>#NUM!</v>
      </c>
    </row>
    <row r="149" spans="2:6" x14ac:dyDescent="0.3">
      <c r="B149" s="19">
        <f t="shared" si="9"/>
        <v>147</v>
      </c>
      <c r="C149" s="20" t="e">
        <f t="shared" si="8"/>
        <v>#NUM!</v>
      </c>
      <c r="D149" s="21" t="e">
        <f t="shared" si="7"/>
        <v>#NUM!</v>
      </c>
      <c r="E149" s="22" t="e">
        <f>(IF('Modelos de TES'!$J$3='Base de datos '!B149,'Modelos de TES'!$K$3+'Modelos de TES'!$G$3,'Modelos de TES'!$K$3))/((1+'Modelos de TES'!$I$3)^('Base de datos '!D149/365))</f>
        <v>#NUM!</v>
      </c>
      <c r="F149" s="24" t="e">
        <f>IF('Modelos de TES'!$J$3&gt;='Base de datos '!B149,'Base de datos '!E149,0)</f>
        <v>#NUM!</v>
      </c>
    </row>
    <row r="150" spans="2:6" x14ac:dyDescent="0.3">
      <c r="B150" s="19">
        <f t="shared" si="9"/>
        <v>148</v>
      </c>
      <c r="C150" s="20" t="e">
        <f t="shared" si="8"/>
        <v>#NUM!</v>
      </c>
      <c r="D150" s="21" t="e">
        <f t="shared" si="7"/>
        <v>#NUM!</v>
      </c>
      <c r="E150" s="22" t="e">
        <f>(IF('Modelos de TES'!$J$3='Base de datos '!B150,'Modelos de TES'!$K$3+'Modelos de TES'!$G$3,'Modelos de TES'!$K$3))/((1+'Modelos de TES'!$I$3)^('Base de datos '!D150/365))</f>
        <v>#NUM!</v>
      </c>
      <c r="F150" s="24" t="e">
        <f>IF('Modelos de TES'!$J$3&gt;='Base de datos '!B150,'Base de datos '!E150,0)</f>
        <v>#NUM!</v>
      </c>
    </row>
    <row r="151" spans="2:6" x14ac:dyDescent="0.3">
      <c r="B151" s="19">
        <f t="shared" si="9"/>
        <v>149</v>
      </c>
      <c r="C151" s="20" t="e">
        <f t="shared" si="8"/>
        <v>#NUM!</v>
      </c>
      <c r="D151" s="21" t="e">
        <f t="shared" si="7"/>
        <v>#NUM!</v>
      </c>
      <c r="E151" s="22" t="e">
        <f>(IF('Modelos de TES'!$J$3='Base de datos '!B151,'Modelos de TES'!$K$3+'Modelos de TES'!$G$3,'Modelos de TES'!$K$3))/((1+'Modelos de TES'!$I$3)^('Base de datos '!D151/365))</f>
        <v>#NUM!</v>
      </c>
      <c r="F151" s="24" t="e">
        <f>IF('Modelos de TES'!$J$3&gt;='Base de datos '!B151,'Base de datos '!E151,0)</f>
        <v>#NUM!</v>
      </c>
    </row>
    <row r="152" spans="2:6" x14ac:dyDescent="0.3">
      <c r="B152" s="19">
        <f t="shared" si="9"/>
        <v>150</v>
      </c>
      <c r="C152" s="20" t="e">
        <f t="shared" si="8"/>
        <v>#NUM!</v>
      </c>
      <c r="D152" s="21" t="e">
        <f t="shared" si="7"/>
        <v>#NUM!</v>
      </c>
      <c r="E152" s="22" t="e">
        <f>(IF('Modelos de TES'!$J$3='Base de datos '!B152,'Modelos de TES'!$K$3+'Modelos de TES'!$G$3,'Modelos de TES'!$K$3))/((1+'Modelos de TES'!$I$3)^('Base de datos '!D152/365))</f>
        <v>#NUM!</v>
      </c>
      <c r="F152" s="24" t="e">
        <f>IF('Modelos de TES'!$J$3&gt;='Base de datos '!B152,'Base de datos '!E152,0)</f>
        <v>#NUM!</v>
      </c>
    </row>
    <row r="153" spans="2:6" x14ac:dyDescent="0.3">
      <c r="B153" s="19">
        <f t="shared" si="9"/>
        <v>151</v>
      </c>
      <c r="C153" s="20" t="e">
        <f t="shared" si="8"/>
        <v>#NUM!</v>
      </c>
      <c r="D153" s="21" t="e">
        <f t="shared" si="7"/>
        <v>#NUM!</v>
      </c>
      <c r="E153" s="22" t="e">
        <f>(IF('Modelos de TES'!$J$3='Base de datos '!B153,'Modelos de TES'!$K$3+'Modelos de TES'!$G$3,'Modelos de TES'!$K$3))/((1+'Modelos de TES'!$I$3)^('Base de datos '!D153/365))</f>
        <v>#NUM!</v>
      </c>
      <c r="F153" s="24" t="e">
        <f>IF('Modelos de TES'!$J$3&gt;='Base de datos '!B153,'Base de datos '!E153,0)</f>
        <v>#NUM!</v>
      </c>
    </row>
    <row r="154" spans="2:6" x14ac:dyDescent="0.3">
      <c r="B154" s="19">
        <f t="shared" si="9"/>
        <v>152</v>
      </c>
      <c r="C154" s="20" t="e">
        <f t="shared" si="8"/>
        <v>#NUM!</v>
      </c>
      <c r="D154" s="21" t="e">
        <f t="shared" si="7"/>
        <v>#NUM!</v>
      </c>
      <c r="E154" s="22" t="e">
        <f>(IF('Modelos de TES'!$J$3='Base de datos '!B154,'Modelos de TES'!$K$3+'Modelos de TES'!$G$3,'Modelos de TES'!$K$3))/((1+'Modelos de TES'!$I$3)^('Base de datos '!D154/365))</f>
        <v>#NUM!</v>
      </c>
      <c r="F154" s="24" t="e">
        <f>IF('Modelos de TES'!$J$3&gt;='Base de datos '!B154,'Base de datos '!E154,0)</f>
        <v>#NUM!</v>
      </c>
    </row>
    <row r="155" spans="2:6" x14ac:dyDescent="0.3">
      <c r="B155" s="19">
        <f t="shared" si="9"/>
        <v>153</v>
      </c>
      <c r="C155" s="20" t="e">
        <f t="shared" si="8"/>
        <v>#NUM!</v>
      </c>
      <c r="D155" s="21" t="e">
        <f t="shared" si="7"/>
        <v>#NUM!</v>
      </c>
      <c r="E155" s="22" t="e">
        <f>(IF('Modelos de TES'!$J$3='Base de datos '!B155,'Modelos de TES'!$K$3+'Modelos de TES'!$G$3,'Modelos de TES'!$K$3))/((1+'Modelos de TES'!$I$3)^('Base de datos '!D155/365))</f>
        <v>#NUM!</v>
      </c>
      <c r="F155" s="24" t="e">
        <f>IF('Modelos de TES'!$J$3&gt;='Base de datos '!B155,'Base de datos '!E155,0)</f>
        <v>#NUM!</v>
      </c>
    </row>
    <row r="156" spans="2:6" x14ac:dyDescent="0.3">
      <c r="B156" s="19">
        <f t="shared" si="9"/>
        <v>154</v>
      </c>
      <c r="C156" s="20" t="e">
        <f t="shared" si="8"/>
        <v>#NUM!</v>
      </c>
      <c r="D156" s="21" t="e">
        <f t="shared" si="7"/>
        <v>#NUM!</v>
      </c>
      <c r="E156" s="22" t="e">
        <f>(IF('Modelos de TES'!$J$3='Base de datos '!B156,'Modelos de TES'!$K$3+'Modelos de TES'!$G$3,'Modelos de TES'!$K$3))/((1+'Modelos de TES'!$I$3)^('Base de datos '!D156/365))</f>
        <v>#NUM!</v>
      </c>
      <c r="F156" s="24" t="e">
        <f>IF('Modelos de TES'!$J$3&gt;='Base de datos '!B156,'Base de datos '!E156,0)</f>
        <v>#NUM!</v>
      </c>
    </row>
    <row r="157" spans="2:6" x14ac:dyDescent="0.3">
      <c r="B157" s="19">
        <f t="shared" si="9"/>
        <v>155</v>
      </c>
      <c r="C157" s="20" t="e">
        <f t="shared" si="8"/>
        <v>#NUM!</v>
      </c>
      <c r="D157" s="21" t="e">
        <f t="shared" si="7"/>
        <v>#NUM!</v>
      </c>
      <c r="E157" s="22" t="e">
        <f>(IF('Modelos de TES'!$J$3='Base de datos '!B157,'Modelos de TES'!$K$3+'Modelos de TES'!$G$3,'Modelos de TES'!$K$3))/((1+'Modelos de TES'!$I$3)^('Base de datos '!D157/365))</f>
        <v>#NUM!</v>
      </c>
      <c r="F157" s="24" t="e">
        <f>IF('Modelos de TES'!$J$3&gt;='Base de datos '!B157,'Base de datos '!E157,0)</f>
        <v>#NUM!</v>
      </c>
    </row>
    <row r="158" spans="2:6" x14ac:dyDescent="0.3">
      <c r="B158" s="19">
        <f t="shared" si="9"/>
        <v>156</v>
      </c>
      <c r="C158" s="20" t="e">
        <f t="shared" si="8"/>
        <v>#NUM!</v>
      </c>
      <c r="D158" s="21" t="e">
        <f t="shared" si="7"/>
        <v>#NUM!</v>
      </c>
      <c r="E158" s="22" t="e">
        <f>(IF('Modelos de TES'!$J$3='Base de datos '!B158,'Modelos de TES'!$K$3+'Modelos de TES'!$G$3,'Modelos de TES'!$K$3))/((1+'Modelos de TES'!$I$3)^('Base de datos '!D158/365))</f>
        <v>#NUM!</v>
      </c>
      <c r="F158" s="24" t="e">
        <f>IF('Modelos de TES'!$J$3&gt;='Base de datos '!B158,'Base de datos '!E158,0)</f>
        <v>#NUM!</v>
      </c>
    </row>
    <row r="159" spans="2:6" x14ac:dyDescent="0.3">
      <c r="B159" s="19">
        <f t="shared" si="9"/>
        <v>157</v>
      </c>
      <c r="C159" s="20" t="e">
        <f t="shared" si="8"/>
        <v>#NUM!</v>
      </c>
      <c r="D159" s="21" t="e">
        <f t="shared" si="7"/>
        <v>#NUM!</v>
      </c>
      <c r="E159" s="22" t="e">
        <f>(IF('Modelos de TES'!$J$3='Base de datos '!B159,'Modelos de TES'!$K$3+'Modelos de TES'!$G$3,'Modelos de TES'!$K$3))/((1+'Modelos de TES'!$I$3)^('Base de datos '!D159/365))</f>
        <v>#NUM!</v>
      </c>
      <c r="F159" s="24" t="e">
        <f>IF('Modelos de TES'!$J$3&gt;='Base de datos '!B159,'Base de datos '!E159,0)</f>
        <v>#NUM!</v>
      </c>
    </row>
    <row r="160" spans="2:6" x14ac:dyDescent="0.3">
      <c r="B160" s="19">
        <f t="shared" si="9"/>
        <v>158</v>
      </c>
      <c r="C160" s="20" t="e">
        <f t="shared" si="8"/>
        <v>#NUM!</v>
      </c>
      <c r="D160" s="21" t="e">
        <f t="shared" si="7"/>
        <v>#NUM!</v>
      </c>
      <c r="E160" s="22" t="e">
        <f>(IF('Modelos de TES'!$J$3='Base de datos '!B160,'Modelos de TES'!$K$3+'Modelos de TES'!$G$3,'Modelos de TES'!$K$3))/((1+'Modelos de TES'!$I$3)^('Base de datos '!D160/365))</f>
        <v>#NUM!</v>
      </c>
      <c r="F160" s="24" t="e">
        <f>IF('Modelos de TES'!$J$3&gt;='Base de datos '!B160,'Base de datos '!E160,0)</f>
        <v>#NUM!</v>
      </c>
    </row>
    <row r="161" spans="2:6" x14ac:dyDescent="0.3">
      <c r="B161" s="19">
        <f t="shared" si="9"/>
        <v>159</v>
      </c>
      <c r="C161" s="20" t="e">
        <f t="shared" si="8"/>
        <v>#NUM!</v>
      </c>
      <c r="D161" s="21" t="e">
        <f t="shared" si="7"/>
        <v>#NUM!</v>
      </c>
      <c r="E161" s="22" t="e">
        <f>(IF('Modelos de TES'!$J$3='Base de datos '!B161,'Modelos de TES'!$K$3+'Modelos de TES'!$G$3,'Modelos de TES'!$K$3))/((1+'Modelos de TES'!$I$3)^('Base de datos '!D161/365))</f>
        <v>#NUM!</v>
      </c>
      <c r="F161" s="24" t="e">
        <f>IF('Modelos de TES'!$J$3&gt;='Base de datos '!B161,'Base de datos '!E161,0)</f>
        <v>#NUM!</v>
      </c>
    </row>
    <row r="162" spans="2:6" x14ac:dyDescent="0.3">
      <c r="B162" s="19">
        <f t="shared" si="9"/>
        <v>160</v>
      </c>
      <c r="C162" s="20" t="e">
        <f t="shared" si="8"/>
        <v>#NUM!</v>
      </c>
      <c r="D162" s="21" t="e">
        <f t="shared" si="7"/>
        <v>#NUM!</v>
      </c>
      <c r="E162" s="22" t="e">
        <f>(IF('Modelos de TES'!$J$3='Base de datos '!B162,'Modelos de TES'!$K$3+'Modelos de TES'!$G$3,'Modelos de TES'!$K$3))/((1+'Modelos de TES'!$I$3)^('Base de datos '!D162/365))</f>
        <v>#NUM!</v>
      </c>
      <c r="F162" s="24" t="e">
        <f>IF('Modelos de TES'!$J$3&gt;='Base de datos '!B162,'Base de datos '!E162,0)</f>
        <v>#NUM!</v>
      </c>
    </row>
    <row r="163" spans="2:6" x14ac:dyDescent="0.3">
      <c r="B163" s="19">
        <f t="shared" si="9"/>
        <v>161</v>
      </c>
      <c r="C163" s="20" t="e">
        <f t="shared" si="8"/>
        <v>#NUM!</v>
      </c>
      <c r="D163" s="21" t="e">
        <f t="shared" si="7"/>
        <v>#NUM!</v>
      </c>
      <c r="E163" s="22" t="e">
        <f>(IF('Modelos de TES'!$J$3='Base de datos '!B163,'Modelos de TES'!$K$3+'Modelos de TES'!$G$3,'Modelos de TES'!$K$3))/((1+'Modelos de TES'!$I$3)^('Base de datos '!D163/365))</f>
        <v>#NUM!</v>
      </c>
      <c r="F163" s="24" t="e">
        <f>IF('Modelos de TES'!$J$3&gt;='Base de datos '!B163,'Base de datos '!E163,0)</f>
        <v>#NUM!</v>
      </c>
    </row>
    <row r="164" spans="2:6" x14ac:dyDescent="0.3">
      <c r="B164" s="19">
        <f t="shared" si="9"/>
        <v>162</v>
      </c>
      <c r="C164" s="20" t="e">
        <f t="shared" si="8"/>
        <v>#NUM!</v>
      </c>
      <c r="D164" s="21" t="e">
        <f t="shared" si="7"/>
        <v>#NUM!</v>
      </c>
      <c r="E164" s="22" t="e">
        <f>(IF('Modelos de TES'!$J$3='Base de datos '!B164,'Modelos de TES'!$K$3+'Modelos de TES'!$G$3,'Modelos de TES'!$K$3))/((1+'Modelos de TES'!$I$3)^('Base de datos '!D164/365))</f>
        <v>#NUM!</v>
      </c>
      <c r="F164" s="24" t="e">
        <f>IF('Modelos de TES'!$J$3&gt;='Base de datos '!B164,'Base de datos '!E164,0)</f>
        <v>#NUM!</v>
      </c>
    </row>
    <row r="165" spans="2:6" x14ac:dyDescent="0.3">
      <c r="B165" s="19">
        <f t="shared" si="9"/>
        <v>163</v>
      </c>
      <c r="C165" s="20" t="e">
        <f t="shared" si="8"/>
        <v>#NUM!</v>
      </c>
      <c r="D165" s="21" t="e">
        <f t="shared" si="7"/>
        <v>#NUM!</v>
      </c>
      <c r="E165" s="22" t="e">
        <f>(IF('Modelos de TES'!$J$3='Base de datos '!B165,'Modelos de TES'!$K$3+'Modelos de TES'!$G$3,'Modelos de TES'!$K$3))/((1+'Modelos de TES'!$I$3)^('Base de datos '!D165/365))</f>
        <v>#NUM!</v>
      </c>
      <c r="F165" s="24" t="e">
        <f>IF('Modelos de TES'!$J$3&gt;='Base de datos '!B165,'Base de datos '!E165,0)</f>
        <v>#NUM!</v>
      </c>
    </row>
    <row r="166" spans="2:6" x14ac:dyDescent="0.3">
      <c r="B166" s="19">
        <f t="shared" si="9"/>
        <v>164</v>
      </c>
      <c r="C166" s="20" t="e">
        <f t="shared" si="8"/>
        <v>#NUM!</v>
      </c>
      <c r="D166" s="21" t="e">
        <f t="shared" si="7"/>
        <v>#NUM!</v>
      </c>
      <c r="E166" s="22" t="e">
        <f>(IF('Modelos de TES'!$J$3='Base de datos '!B166,'Modelos de TES'!$K$3+'Modelos de TES'!$G$3,'Modelos de TES'!$K$3))/((1+'Modelos de TES'!$I$3)^('Base de datos '!D166/365))</f>
        <v>#NUM!</v>
      </c>
      <c r="F166" s="24" t="e">
        <f>IF('Modelos de TES'!$J$3&gt;='Base de datos '!B166,'Base de datos '!E166,0)</f>
        <v>#NUM!</v>
      </c>
    </row>
    <row r="167" spans="2:6" x14ac:dyDescent="0.3">
      <c r="B167" s="19">
        <f t="shared" si="9"/>
        <v>165</v>
      </c>
      <c r="C167" s="20" t="e">
        <f t="shared" si="8"/>
        <v>#NUM!</v>
      </c>
      <c r="D167" s="21" t="e">
        <f t="shared" si="7"/>
        <v>#NUM!</v>
      </c>
      <c r="E167" s="22" t="e">
        <f>(IF('Modelos de TES'!$J$3='Base de datos '!B167,'Modelos de TES'!$K$3+'Modelos de TES'!$G$3,'Modelos de TES'!$K$3))/((1+'Modelos de TES'!$I$3)^('Base de datos '!D167/365))</f>
        <v>#NUM!</v>
      </c>
      <c r="F167" s="24" t="e">
        <f>IF('Modelos de TES'!$J$3&gt;='Base de datos '!B167,'Base de datos '!E167,0)</f>
        <v>#NUM!</v>
      </c>
    </row>
    <row r="168" spans="2:6" x14ac:dyDescent="0.3">
      <c r="B168" s="19">
        <f t="shared" si="9"/>
        <v>166</v>
      </c>
      <c r="C168" s="20" t="e">
        <f t="shared" si="8"/>
        <v>#NUM!</v>
      </c>
      <c r="D168" s="21" t="e">
        <f t="shared" si="7"/>
        <v>#NUM!</v>
      </c>
      <c r="E168" s="22" t="e">
        <f>(IF('Modelos de TES'!$J$3='Base de datos '!B168,'Modelos de TES'!$K$3+'Modelos de TES'!$G$3,'Modelos de TES'!$K$3))/((1+'Modelos de TES'!$I$3)^('Base de datos '!D168/365))</f>
        <v>#NUM!</v>
      </c>
      <c r="F168" s="24" t="e">
        <f>IF('Modelos de TES'!$J$3&gt;='Base de datos '!B168,'Base de datos '!E168,0)</f>
        <v>#NUM!</v>
      </c>
    </row>
    <row r="169" spans="2:6" x14ac:dyDescent="0.3">
      <c r="B169" s="19">
        <f t="shared" si="9"/>
        <v>167</v>
      </c>
      <c r="C169" s="20" t="e">
        <f t="shared" si="8"/>
        <v>#NUM!</v>
      </c>
      <c r="D169" s="21" t="e">
        <f t="shared" si="7"/>
        <v>#NUM!</v>
      </c>
      <c r="E169" s="22" t="e">
        <f>(IF('Modelos de TES'!$J$3='Base de datos '!B169,'Modelos de TES'!$K$3+'Modelos de TES'!$G$3,'Modelos de TES'!$K$3))/((1+'Modelos de TES'!$I$3)^('Base de datos '!D169/365))</f>
        <v>#NUM!</v>
      </c>
      <c r="F169" s="24" t="e">
        <f>IF('Modelos de TES'!$J$3&gt;='Base de datos '!B169,'Base de datos '!E169,0)</f>
        <v>#NUM!</v>
      </c>
    </row>
    <row r="170" spans="2:6" x14ac:dyDescent="0.3">
      <c r="B170" s="19">
        <f t="shared" si="9"/>
        <v>168</v>
      </c>
      <c r="C170" s="20" t="e">
        <f t="shared" si="8"/>
        <v>#NUM!</v>
      </c>
      <c r="D170" s="21" t="e">
        <f t="shared" si="7"/>
        <v>#NUM!</v>
      </c>
      <c r="E170" s="22" t="e">
        <f>(IF('Modelos de TES'!$J$3='Base de datos '!B170,'Modelos de TES'!$K$3+'Modelos de TES'!$G$3,'Modelos de TES'!$K$3))/((1+'Modelos de TES'!$I$3)^('Base de datos '!D170/365))</f>
        <v>#NUM!</v>
      </c>
      <c r="F170" s="24" t="e">
        <f>IF('Modelos de TES'!$J$3&gt;='Base de datos '!B170,'Base de datos '!E170,0)</f>
        <v>#NUM!</v>
      </c>
    </row>
    <row r="171" spans="2:6" x14ac:dyDescent="0.3">
      <c r="B171" s="19">
        <f t="shared" si="9"/>
        <v>169</v>
      </c>
      <c r="C171" s="20" t="e">
        <f t="shared" si="8"/>
        <v>#NUM!</v>
      </c>
      <c r="D171" s="21" t="e">
        <f t="shared" si="7"/>
        <v>#NUM!</v>
      </c>
      <c r="E171" s="22" t="e">
        <f>(IF('Modelos de TES'!$J$3='Base de datos '!B171,'Modelos de TES'!$K$3+'Modelos de TES'!$G$3,'Modelos de TES'!$K$3))/((1+'Modelos de TES'!$I$3)^('Base de datos '!D171/365))</f>
        <v>#NUM!</v>
      </c>
      <c r="F171" s="24" t="e">
        <f>IF('Modelos de TES'!$J$3&gt;='Base de datos '!B171,'Base de datos '!E171,0)</f>
        <v>#NUM!</v>
      </c>
    </row>
    <row r="172" spans="2:6" x14ac:dyDescent="0.3">
      <c r="B172" s="19">
        <f t="shared" si="9"/>
        <v>170</v>
      </c>
      <c r="C172" s="20" t="e">
        <f t="shared" si="8"/>
        <v>#NUM!</v>
      </c>
      <c r="D172" s="21" t="e">
        <f t="shared" si="7"/>
        <v>#NUM!</v>
      </c>
      <c r="E172" s="22" t="e">
        <f>(IF('Modelos de TES'!$J$3='Base de datos '!B172,'Modelos de TES'!$K$3+'Modelos de TES'!$G$3,'Modelos de TES'!$K$3))/((1+'Modelos de TES'!$I$3)^('Base de datos '!D172/365))</f>
        <v>#NUM!</v>
      </c>
      <c r="F172" s="24" t="e">
        <f>IF('Modelos de TES'!$J$3&gt;='Base de datos '!B172,'Base de datos '!E172,0)</f>
        <v>#NUM!</v>
      </c>
    </row>
    <row r="173" spans="2:6" x14ac:dyDescent="0.3">
      <c r="B173" s="19">
        <f t="shared" si="9"/>
        <v>171</v>
      </c>
      <c r="C173" s="20" t="e">
        <f t="shared" si="8"/>
        <v>#NUM!</v>
      </c>
      <c r="D173" s="21" t="e">
        <f t="shared" si="7"/>
        <v>#NUM!</v>
      </c>
      <c r="E173" s="22" t="e">
        <f>(IF('Modelos de TES'!$J$3='Base de datos '!B173,'Modelos de TES'!$K$3+'Modelos de TES'!$G$3,'Modelos de TES'!$K$3))/((1+'Modelos de TES'!$I$3)^('Base de datos '!D173/365))</f>
        <v>#NUM!</v>
      </c>
      <c r="F173" s="24" t="e">
        <f>IF('Modelos de TES'!$J$3&gt;='Base de datos '!B173,'Base de datos '!E173,0)</f>
        <v>#NUM!</v>
      </c>
    </row>
    <row r="174" spans="2:6" x14ac:dyDescent="0.3">
      <c r="B174" s="19">
        <f t="shared" si="9"/>
        <v>172</v>
      </c>
      <c r="C174" s="20" t="e">
        <f t="shared" si="8"/>
        <v>#NUM!</v>
      </c>
      <c r="D174" s="21" t="e">
        <f t="shared" si="7"/>
        <v>#NUM!</v>
      </c>
      <c r="E174" s="22" t="e">
        <f>(IF('Modelos de TES'!$J$3='Base de datos '!B174,'Modelos de TES'!$K$3+'Modelos de TES'!$G$3,'Modelos de TES'!$K$3))/((1+'Modelos de TES'!$I$3)^('Base de datos '!D174/365))</f>
        <v>#NUM!</v>
      </c>
      <c r="F174" s="24" t="e">
        <f>IF('Modelos de TES'!$J$3&gt;='Base de datos '!B174,'Base de datos '!E174,0)</f>
        <v>#NUM!</v>
      </c>
    </row>
    <row r="175" spans="2:6" x14ac:dyDescent="0.3">
      <c r="B175" s="19">
        <f t="shared" si="9"/>
        <v>173</v>
      </c>
      <c r="C175" s="20" t="e">
        <f t="shared" si="8"/>
        <v>#NUM!</v>
      </c>
      <c r="D175" s="21" t="e">
        <f t="shared" si="7"/>
        <v>#NUM!</v>
      </c>
      <c r="E175" s="22" t="e">
        <f>(IF('Modelos de TES'!$J$3='Base de datos '!B175,'Modelos de TES'!$K$3+'Modelos de TES'!$G$3,'Modelos de TES'!$K$3))/((1+'Modelos de TES'!$I$3)^('Base de datos '!D175/365))</f>
        <v>#NUM!</v>
      </c>
      <c r="F175" s="24" t="e">
        <f>IF('Modelos de TES'!$J$3&gt;='Base de datos '!B175,'Base de datos '!E175,0)</f>
        <v>#NUM!</v>
      </c>
    </row>
    <row r="176" spans="2:6" x14ac:dyDescent="0.3">
      <c r="B176" s="19">
        <f t="shared" si="9"/>
        <v>174</v>
      </c>
      <c r="C176" s="20" t="e">
        <f t="shared" si="8"/>
        <v>#NUM!</v>
      </c>
      <c r="D176" s="21" t="e">
        <f t="shared" si="7"/>
        <v>#NUM!</v>
      </c>
      <c r="E176" s="22" t="e">
        <f>(IF('Modelos de TES'!$J$3='Base de datos '!B176,'Modelos de TES'!$K$3+'Modelos de TES'!$G$3,'Modelos de TES'!$K$3))/((1+'Modelos de TES'!$I$3)^('Base de datos '!D176/365))</f>
        <v>#NUM!</v>
      </c>
      <c r="F176" s="24" t="e">
        <f>IF('Modelos de TES'!$J$3&gt;='Base de datos '!B176,'Base de datos '!E176,0)</f>
        <v>#NUM!</v>
      </c>
    </row>
    <row r="177" spans="2:6" x14ac:dyDescent="0.3">
      <c r="B177" s="19">
        <f t="shared" si="9"/>
        <v>175</v>
      </c>
      <c r="C177" s="20" t="e">
        <f t="shared" si="8"/>
        <v>#NUM!</v>
      </c>
      <c r="D177" s="21" t="e">
        <f t="shared" si="7"/>
        <v>#NUM!</v>
      </c>
      <c r="E177" s="22" t="e">
        <f>(IF('Modelos de TES'!$J$3='Base de datos '!B177,'Modelos de TES'!$K$3+'Modelos de TES'!$G$3,'Modelos de TES'!$K$3))/((1+'Modelos de TES'!$I$3)^('Base de datos '!D177/365))</f>
        <v>#NUM!</v>
      </c>
      <c r="F177" s="24" t="e">
        <f>IF('Modelos de TES'!$J$3&gt;='Base de datos '!B177,'Base de datos '!E177,0)</f>
        <v>#NUM!</v>
      </c>
    </row>
    <row r="178" spans="2:6" x14ac:dyDescent="0.3">
      <c r="B178" s="19">
        <f t="shared" si="9"/>
        <v>176</v>
      </c>
      <c r="C178" s="20" t="e">
        <f t="shared" si="8"/>
        <v>#NUM!</v>
      </c>
      <c r="D178" s="21" t="e">
        <f t="shared" si="7"/>
        <v>#NUM!</v>
      </c>
      <c r="E178" s="22" t="e">
        <f>(IF('Modelos de TES'!$J$3='Base de datos '!B178,'Modelos de TES'!$K$3+'Modelos de TES'!$G$3,'Modelos de TES'!$K$3))/((1+'Modelos de TES'!$I$3)^('Base de datos '!D178/365))</f>
        <v>#NUM!</v>
      </c>
      <c r="F178" s="24" t="e">
        <f>IF('Modelos de TES'!$J$3&gt;='Base de datos '!B178,'Base de datos '!E178,0)</f>
        <v>#NUM!</v>
      </c>
    </row>
    <row r="179" spans="2:6" x14ac:dyDescent="0.3">
      <c r="B179" s="19">
        <f t="shared" si="9"/>
        <v>177</v>
      </c>
      <c r="C179" s="20" t="e">
        <f t="shared" si="8"/>
        <v>#NUM!</v>
      </c>
      <c r="D179" s="21" t="e">
        <f t="shared" si="7"/>
        <v>#NUM!</v>
      </c>
      <c r="E179" s="22" t="e">
        <f>(IF('Modelos de TES'!$J$3='Base de datos '!B179,'Modelos de TES'!$K$3+'Modelos de TES'!$G$3,'Modelos de TES'!$K$3))/((1+'Modelos de TES'!$I$3)^('Base de datos '!D179/365))</f>
        <v>#NUM!</v>
      </c>
      <c r="F179" s="24" t="e">
        <f>IF('Modelos de TES'!$J$3&gt;='Base de datos '!B179,'Base de datos '!E179,0)</f>
        <v>#NUM!</v>
      </c>
    </row>
    <row r="180" spans="2:6" x14ac:dyDescent="0.3">
      <c r="B180" s="19">
        <f t="shared" si="9"/>
        <v>178</v>
      </c>
      <c r="C180" s="20" t="e">
        <f t="shared" si="8"/>
        <v>#NUM!</v>
      </c>
      <c r="D180" s="21" t="e">
        <f t="shared" si="7"/>
        <v>#NUM!</v>
      </c>
      <c r="E180" s="22" t="e">
        <f>(IF('Modelos de TES'!$J$3='Base de datos '!B180,'Modelos de TES'!$K$3+'Modelos de TES'!$G$3,'Modelos de TES'!$K$3))/((1+'Modelos de TES'!$I$3)^('Base de datos '!D180/365))</f>
        <v>#NUM!</v>
      </c>
      <c r="F180" s="24" t="e">
        <f>IF('Modelos de TES'!$J$3&gt;='Base de datos '!B180,'Base de datos '!E180,0)</f>
        <v>#NUM!</v>
      </c>
    </row>
    <row r="181" spans="2:6" x14ac:dyDescent="0.3">
      <c r="B181" s="19">
        <f t="shared" si="9"/>
        <v>179</v>
      </c>
      <c r="C181" s="20" t="e">
        <f t="shared" si="8"/>
        <v>#NUM!</v>
      </c>
      <c r="D181" s="21" t="e">
        <f t="shared" si="7"/>
        <v>#NUM!</v>
      </c>
      <c r="E181" s="22" t="e">
        <f>(IF('Modelos de TES'!$J$3='Base de datos '!B181,'Modelos de TES'!$K$3+'Modelos de TES'!$G$3,'Modelos de TES'!$K$3))/((1+'Modelos de TES'!$I$3)^('Base de datos '!D181/365))</f>
        <v>#NUM!</v>
      </c>
      <c r="F181" s="24" t="e">
        <f>IF('Modelos de TES'!$J$3&gt;='Base de datos '!B181,'Base de datos '!E181,0)</f>
        <v>#NUM!</v>
      </c>
    </row>
    <row r="182" spans="2:6" x14ac:dyDescent="0.3">
      <c r="B182" s="19">
        <f t="shared" si="9"/>
        <v>180</v>
      </c>
      <c r="C182" s="20" t="e">
        <f t="shared" si="8"/>
        <v>#NUM!</v>
      </c>
      <c r="D182" s="21" t="e">
        <f t="shared" si="7"/>
        <v>#NUM!</v>
      </c>
      <c r="E182" s="22" t="e">
        <f>(IF('Modelos de TES'!$J$3='Base de datos '!B182,'Modelos de TES'!$K$3+'Modelos de TES'!$G$3,'Modelos de TES'!$K$3))/((1+'Modelos de TES'!$I$3)^('Base de datos '!D182/365))</f>
        <v>#NUM!</v>
      </c>
      <c r="F182" s="24" t="e">
        <f>IF('Modelos de TES'!$J$3&gt;='Base de datos '!B182,'Base de datos '!E182,0)</f>
        <v>#NUM!</v>
      </c>
    </row>
    <row r="183" spans="2:6" x14ac:dyDescent="0.3">
      <c r="B183" s="19">
        <f t="shared" si="9"/>
        <v>181</v>
      </c>
      <c r="C183" s="20" t="e">
        <f t="shared" si="8"/>
        <v>#NUM!</v>
      </c>
      <c r="D183" s="21" t="e">
        <f t="shared" si="7"/>
        <v>#NUM!</v>
      </c>
      <c r="E183" s="22" t="e">
        <f>(IF('Modelos de TES'!$J$3='Base de datos '!B183,'Modelos de TES'!$K$3+'Modelos de TES'!$G$3,'Modelos de TES'!$K$3))/((1+'Modelos de TES'!$I$3)^('Base de datos '!D183/365))</f>
        <v>#NUM!</v>
      </c>
      <c r="F183" s="24" t="e">
        <f>IF('Modelos de TES'!$J$3&gt;='Base de datos '!B183,'Base de datos '!E183,0)</f>
        <v>#NUM!</v>
      </c>
    </row>
    <row r="184" spans="2:6" x14ac:dyDescent="0.3">
      <c r="B184" s="19">
        <f t="shared" si="9"/>
        <v>182</v>
      </c>
      <c r="C184" s="20" t="e">
        <f t="shared" si="8"/>
        <v>#NUM!</v>
      </c>
      <c r="D184" s="21" t="e">
        <f t="shared" si="7"/>
        <v>#NUM!</v>
      </c>
      <c r="E184" s="22" t="e">
        <f>(IF('Modelos de TES'!$J$3='Base de datos '!B184,'Modelos de TES'!$K$3+'Modelos de TES'!$G$3,'Modelos de TES'!$K$3))/((1+'Modelos de TES'!$I$3)^('Base de datos '!D184/365))</f>
        <v>#NUM!</v>
      </c>
      <c r="F184" s="24" t="e">
        <f>IF('Modelos de TES'!$J$3&gt;='Base de datos '!B184,'Base de datos '!E184,0)</f>
        <v>#NUM!</v>
      </c>
    </row>
    <row r="185" spans="2:6" x14ac:dyDescent="0.3">
      <c r="B185" s="19">
        <f t="shared" si="9"/>
        <v>183</v>
      </c>
      <c r="C185" s="20" t="e">
        <f t="shared" si="8"/>
        <v>#NUM!</v>
      </c>
      <c r="D185" s="21" t="e">
        <f t="shared" si="7"/>
        <v>#NUM!</v>
      </c>
      <c r="E185" s="22" t="e">
        <f>(IF('Modelos de TES'!$J$3='Base de datos '!B185,'Modelos de TES'!$K$3+'Modelos de TES'!$G$3,'Modelos de TES'!$K$3))/((1+'Modelos de TES'!$I$3)^('Base de datos '!D185/365))</f>
        <v>#NUM!</v>
      </c>
      <c r="F185" s="24" t="e">
        <f>IF('Modelos de TES'!$J$3&gt;='Base de datos '!B185,'Base de datos '!E185,0)</f>
        <v>#NUM!</v>
      </c>
    </row>
    <row r="186" spans="2:6" x14ac:dyDescent="0.3">
      <c r="B186" s="19">
        <f t="shared" si="9"/>
        <v>184</v>
      </c>
      <c r="C186" s="20" t="e">
        <f t="shared" si="8"/>
        <v>#NUM!</v>
      </c>
      <c r="D186" s="21" t="e">
        <f t="shared" si="7"/>
        <v>#NUM!</v>
      </c>
      <c r="E186" s="22" t="e">
        <f>(IF('Modelos de TES'!$J$3='Base de datos '!B186,'Modelos de TES'!$K$3+'Modelos de TES'!$G$3,'Modelos de TES'!$K$3))/((1+'Modelos de TES'!$I$3)^('Base de datos '!D186/365))</f>
        <v>#NUM!</v>
      </c>
      <c r="F186" s="24" t="e">
        <f>IF('Modelos de TES'!$J$3&gt;='Base de datos '!B186,'Base de datos '!E186,0)</f>
        <v>#NUM!</v>
      </c>
    </row>
    <row r="187" spans="2:6" x14ac:dyDescent="0.3">
      <c r="B187" s="19">
        <f t="shared" si="9"/>
        <v>185</v>
      </c>
      <c r="C187" s="20" t="e">
        <f t="shared" si="8"/>
        <v>#NUM!</v>
      </c>
      <c r="D187" s="21" t="e">
        <f t="shared" si="7"/>
        <v>#NUM!</v>
      </c>
      <c r="E187" s="22" t="e">
        <f>(IF('Modelos de TES'!$J$3='Base de datos '!B187,'Modelos de TES'!$K$3+'Modelos de TES'!$G$3,'Modelos de TES'!$K$3))/((1+'Modelos de TES'!$I$3)^('Base de datos '!D187/365))</f>
        <v>#NUM!</v>
      </c>
      <c r="F187" s="24" t="e">
        <f>IF('Modelos de TES'!$J$3&gt;='Base de datos '!B187,'Base de datos '!E187,0)</f>
        <v>#NUM!</v>
      </c>
    </row>
    <row r="188" spans="2:6" x14ac:dyDescent="0.3">
      <c r="B188" s="19">
        <f t="shared" si="9"/>
        <v>186</v>
      </c>
      <c r="C188" s="20" t="e">
        <f t="shared" si="8"/>
        <v>#NUM!</v>
      </c>
      <c r="D188" s="21" t="e">
        <f t="shared" si="7"/>
        <v>#NUM!</v>
      </c>
      <c r="E188" s="22" t="e">
        <f>(IF('Modelos de TES'!$J$3='Base de datos '!B188,'Modelos de TES'!$K$3+'Modelos de TES'!$G$3,'Modelos de TES'!$K$3))/((1+'Modelos de TES'!$I$3)^('Base de datos '!D188/365))</f>
        <v>#NUM!</v>
      </c>
      <c r="F188" s="24" t="e">
        <f>IF('Modelos de TES'!$J$3&gt;='Base de datos '!B188,'Base de datos '!E188,0)</f>
        <v>#NUM!</v>
      </c>
    </row>
    <row r="189" spans="2:6" x14ac:dyDescent="0.3">
      <c r="B189" s="19">
        <f t="shared" si="9"/>
        <v>187</v>
      </c>
      <c r="C189" s="20" t="e">
        <f t="shared" si="8"/>
        <v>#NUM!</v>
      </c>
      <c r="D189" s="21" t="e">
        <f t="shared" si="7"/>
        <v>#NUM!</v>
      </c>
      <c r="E189" s="22" t="e">
        <f>(IF('Modelos de TES'!$J$3='Base de datos '!B189,'Modelos de TES'!$K$3+'Modelos de TES'!$G$3,'Modelos de TES'!$K$3))/((1+'Modelos de TES'!$I$3)^('Base de datos '!D189/365))</f>
        <v>#NUM!</v>
      </c>
      <c r="F189" s="24" t="e">
        <f>IF('Modelos de TES'!$J$3&gt;='Base de datos '!B189,'Base de datos '!E189,0)</f>
        <v>#NUM!</v>
      </c>
    </row>
    <row r="190" spans="2:6" x14ac:dyDescent="0.3">
      <c r="B190" s="19">
        <f t="shared" si="9"/>
        <v>188</v>
      </c>
      <c r="C190" s="20" t="e">
        <f t="shared" si="8"/>
        <v>#NUM!</v>
      </c>
      <c r="D190" s="21" t="e">
        <f t="shared" si="7"/>
        <v>#NUM!</v>
      </c>
      <c r="E190" s="22" t="e">
        <f>(IF('Modelos de TES'!$J$3='Base de datos '!B190,'Modelos de TES'!$K$3+'Modelos de TES'!$G$3,'Modelos de TES'!$K$3))/((1+'Modelos de TES'!$I$3)^('Base de datos '!D190/365))</f>
        <v>#NUM!</v>
      </c>
      <c r="F190" s="24" t="e">
        <f>IF('Modelos de TES'!$J$3&gt;='Base de datos '!B190,'Base de datos '!E190,0)</f>
        <v>#NUM!</v>
      </c>
    </row>
    <row r="191" spans="2:6" x14ac:dyDescent="0.3">
      <c r="B191" s="19">
        <f t="shared" si="9"/>
        <v>189</v>
      </c>
      <c r="C191" s="20" t="e">
        <f t="shared" si="8"/>
        <v>#NUM!</v>
      </c>
      <c r="D191" s="21" t="e">
        <f t="shared" si="7"/>
        <v>#NUM!</v>
      </c>
      <c r="E191" s="22" t="e">
        <f>(IF('Modelos de TES'!$J$3='Base de datos '!B191,'Modelos de TES'!$K$3+'Modelos de TES'!$G$3,'Modelos de TES'!$K$3))/((1+'Modelos de TES'!$I$3)^('Base de datos '!D191/365))</f>
        <v>#NUM!</v>
      </c>
      <c r="F191" s="24" t="e">
        <f>IF('Modelos de TES'!$J$3&gt;='Base de datos '!B191,'Base de datos '!E191,0)</f>
        <v>#NUM!</v>
      </c>
    </row>
    <row r="192" spans="2:6" x14ac:dyDescent="0.3">
      <c r="B192" s="19">
        <f t="shared" si="9"/>
        <v>190</v>
      </c>
      <c r="C192" s="20" t="e">
        <f t="shared" si="8"/>
        <v>#NUM!</v>
      </c>
      <c r="D192" s="21" t="e">
        <f t="shared" si="7"/>
        <v>#NUM!</v>
      </c>
      <c r="E192" s="22" t="e">
        <f>(IF('Modelos de TES'!$J$3='Base de datos '!B192,'Modelos de TES'!$K$3+'Modelos de TES'!$G$3,'Modelos de TES'!$K$3))/((1+'Modelos de TES'!$I$3)^('Base de datos '!D192/365))</f>
        <v>#NUM!</v>
      </c>
      <c r="F192" s="24" t="e">
        <f>IF('Modelos de TES'!$J$3&gt;='Base de datos '!B192,'Base de datos '!E192,0)</f>
        <v>#NUM!</v>
      </c>
    </row>
    <row r="193" spans="2:6" x14ac:dyDescent="0.3">
      <c r="B193" s="19">
        <f t="shared" si="9"/>
        <v>191</v>
      </c>
      <c r="C193" s="20" t="e">
        <f t="shared" si="8"/>
        <v>#NUM!</v>
      </c>
      <c r="D193" s="21" t="e">
        <f t="shared" si="7"/>
        <v>#NUM!</v>
      </c>
      <c r="E193" s="22" t="e">
        <f>(IF('Modelos de TES'!$J$3='Base de datos '!B193,'Modelos de TES'!$K$3+'Modelos de TES'!$G$3,'Modelos de TES'!$K$3))/((1+'Modelos de TES'!$I$3)^('Base de datos '!D193/365))</f>
        <v>#NUM!</v>
      </c>
      <c r="F193" s="24" t="e">
        <f>IF('Modelos de TES'!$J$3&gt;='Base de datos '!B193,'Base de datos '!E193,0)</f>
        <v>#NUM!</v>
      </c>
    </row>
    <row r="194" spans="2:6" x14ac:dyDescent="0.3">
      <c r="B194" s="19">
        <f t="shared" si="9"/>
        <v>192</v>
      </c>
      <c r="C194" s="20" t="e">
        <f t="shared" si="8"/>
        <v>#NUM!</v>
      </c>
      <c r="D194" s="21" t="e">
        <f t="shared" si="7"/>
        <v>#NUM!</v>
      </c>
      <c r="E194" s="22" t="e">
        <f>(IF('Modelos de TES'!$J$3='Base de datos '!B194,'Modelos de TES'!$K$3+'Modelos de TES'!$G$3,'Modelos de TES'!$K$3))/((1+'Modelos de TES'!$I$3)^('Base de datos '!D194/365))</f>
        <v>#NUM!</v>
      </c>
      <c r="F194" s="24" t="e">
        <f>IF('Modelos de TES'!$J$3&gt;='Base de datos '!B194,'Base de datos '!E194,0)</f>
        <v>#NUM!</v>
      </c>
    </row>
    <row r="195" spans="2:6" x14ac:dyDescent="0.3">
      <c r="B195" s="19">
        <f t="shared" si="9"/>
        <v>193</v>
      </c>
      <c r="C195" s="20" t="e">
        <f t="shared" si="8"/>
        <v>#NUM!</v>
      </c>
      <c r="D195" s="21" t="e">
        <f t="shared" si="7"/>
        <v>#NUM!</v>
      </c>
      <c r="E195" s="22" t="e">
        <f>(IF('Modelos de TES'!$J$3='Base de datos '!B195,'Modelos de TES'!$K$3+'Modelos de TES'!$G$3,'Modelos de TES'!$K$3))/((1+'Modelos de TES'!$I$3)^('Base de datos '!D195/365))</f>
        <v>#NUM!</v>
      </c>
      <c r="F195" s="24" t="e">
        <f>IF('Modelos de TES'!$J$3&gt;='Base de datos '!B195,'Base de datos '!E195,0)</f>
        <v>#NUM!</v>
      </c>
    </row>
    <row r="196" spans="2:6" x14ac:dyDescent="0.3">
      <c r="B196" s="19">
        <f t="shared" si="9"/>
        <v>194</v>
      </c>
      <c r="C196" s="20" t="e">
        <f t="shared" si="8"/>
        <v>#NUM!</v>
      </c>
      <c r="D196" s="21" t="e">
        <f t="shared" si="7"/>
        <v>#NUM!</v>
      </c>
      <c r="E196" s="22" t="e">
        <f>(IF('Modelos de TES'!$J$3='Base de datos '!B196,'Modelos de TES'!$K$3+'Modelos de TES'!$G$3,'Modelos de TES'!$K$3))/((1+'Modelos de TES'!$I$3)^('Base de datos '!D196/365))</f>
        <v>#NUM!</v>
      </c>
      <c r="F196" s="24" t="e">
        <f>IF('Modelos de TES'!$J$3&gt;='Base de datos '!B196,'Base de datos '!E196,0)</f>
        <v>#NUM!</v>
      </c>
    </row>
    <row r="197" spans="2:6" x14ac:dyDescent="0.3">
      <c r="B197" s="19">
        <f t="shared" si="9"/>
        <v>195</v>
      </c>
      <c r="C197" s="20" t="e">
        <f t="shared" si="8"/>
        <v>#NUM!</v>
      </c>
      <c r="D197" s="21" t="e">
        <f t="shared" ref="D197:D260" si="10">D196+365</f>
        <v>#NUM!</v>
      </c>
      <c r="E197" s="22" t="e">
        <f>(IF('Modelos de TES'!$J$3='Base de datos '!B197,'Modelos de TES'!$K$3+'Modelos de TES'!$G$3,'Modelos de TES'!$K$3))/((1+'Modelos de TES'!$I$3)^('Base de datos '!D197/365))</f>
        <v>#NUM!</v>
      </c>
      <c r="F197" s="24" t="e">
        <f>IF('Modelos de TES'!$J$3&gt;='Base de datos '!B197,'Base de datos '!E197,0)</f>
        <v>#NUM!</v>
      </c>
    </row>
    <row r="198" spans="2:6" x14ac:dyDescent="0.3">
      <c r="B198" s="19">
        <f t="shared" si="9"/>
        <v>196</v>
      </c>
      <c r="C198" s="20" t="e">
        <f t="shared" si="8"/>
        <v>#NUM!</v>
      </c>
      <c r="D198" s="21" t="e">
        <f t="shared" si="10"/>
        <v>#NUM!</v>
      </c>
      <c r="E198" s="22" t="e">
        <f>(IF('Modelos de TES'!$J$3='Base de datos '!B198,'Modelos de TES'!$K$3+'Modelos de TES'!$G$3,'Modelos de TES'!$K$3))/((1+'Modelos de TES'!$I$3)^('Base de datos '!D198/365))</f>
        <v>#NUM!</v>
      </c>
      <c r="F198" s="24" t="e">
        <f>IF('Modelos de TES'!$J$3&gt;='Base de datos '!B198,'Base de datos '!E198,0)</f>
        <v>#NUM!</v>
      </c>
    </row>
    <row r="199" spans="2:6" x14ac:dyDescent="0.3">
      <c r="B199" s="19">
        <f t="shared" si="9"/>
        <v>197</v>
      </c>
      <c r="C199" s="20" t="e">
        <f t="shared" si="8"/>
        <v>#NUM!</v>
      </c>
      <c r="D199" s="21" t="e">
        <f t="shared" si="10"/>
        <v>#NUM!</v>
      </c>
      <c r="E199" s="22" t="e">
        <f>(IF('Modelos de TES'!$J$3='Base de datos '!B199,'Modelos de TES'!$K$3+'Modelos de TES'!$G$3,'Modelos de TES'!$K$3))/((1+'Modelos de TES'!$I$3)^('Base de datos '!D199/365))</f>
        <v>#NUM!</v>
      </c>
      <c r="F199" s="24" t="e">
        <f>IF('Modelos de TES'!$J$3&gt;='Base de datos '!B199,'Base de datos '!E199,0)</f>
        <v>#NUM!</v>
      </c>
    </row>
    <row r="200" spans="2:6" x14ac:dyDescent="0.3">
      <c r="B200" s="19">
        <f t="shared" si="9"/>
        <v>198</v>
      </c>
      <c r="C200" s="20" t="e">
        <f t="shared" si="8"/>
        <v>#NUM!</v>
      </c>
      <c r="D200" s="21" t="e">
        <f t="shared" si="10"/>
        <v>#NUM!</v>
      </c>
      <c r="E200" s="22" t="e">
        <f>(IF('Modelos de TES'!$J$3='Base de datos '!B200,'Modelos de TES'!$K$3+'Modelos de TES'!$G$3,'Modelos de TES'!$K$3))/((1+'Modelos de TES'!$I$3)^('Base de datos '!D200/365))</f>
        <v>#NUM!</v>
      </c>
      <c r="F200" s="24" t="e">
        <f>IF('Modelos de TES'!$J$3&gt;='Base de datos '!B200,'Base de datos '!E200,0)</f>
        <v>#NUM!</v>
      </c>
    </row>
    <row r="201" spans="2:6" x14ac:dyDescent="0.3">
      <c r="B201" s="19">
        <f t="shared" si="9"/>
        <v>199</v>
      </c>
      <c r="C201" s="20" t="e">
        <f t="shared" si="8"/>
        <v>#NUM!</v>
      </c>
      <c r="D201" s="21" t="e">
        <f t="shared" si="10"/>
        <v>#NUM!</v>
      </c>
      <c r="E201" s="22" t="e">
        <f>(IF('Modelos de TES'!$J$3='Base de datos '!B201,'Modelos de TES'!$K$3+'Modelos de TES'!$G$3,'Modelos de TES'!$K$3))/((1+'Modelos de TES'!$I$3)^('Base de datos '!D201/365))</f>
        <v>#NUM!</v>
      </c>
      <c r="F201" s="24" t="e">
        <f>IF('Modelos de TES'!$J$3&gt;='Base de datos '!B201,'Base de datos '!E201,0)</f>
        <v>#NUM!</v>
      </c>
    </row>
    <row r="202" spans="2:6" x14ac:dyDescent="0.3">
      <c r="B202" s="19">
        <f t="shared" si="9"/>
        <v>200</v>
      </c>
      <c r="C202" s="20" t="e">
        <f t="shared" si="8"/>
        <v>#NUM!</v>
      </c>
      <c r="D202" s="21" t="e">
        <f t="shared" si="10"/>
        <v>#NUM!</v>
      </c>
      <c r="E202" s="22" t="e">
        <f>(IF('Modelos de TES'!$J$3='Base de datos '!B202,'Modelos de TES'!$K$3+'Modelos de TES'!$G$3,'Modelos de TES'!$K$3))/((1+'Modelos de TES'!$I$3)^('Base de datos '!D202/365))</f>
        <v>#NUM!</v>
      </c>
      <c r="F202" s="24" t="e">
        <f>IF('Modelos de TES'!$J$3&gt;='Base de datos '!B202,'Base de datos '!E202,0)</f>
        <v>#NUM!</v>
      </c>
    </row>
    <row r="203" spans="2:6" x14ac:dyDescent="0.3">
      <c r="B203" s="19">
        <f t="shared" si="9"/>
        <v>201</v>
      </c>
      <c r="C203" s="20" t="e">
        <f t="shared" si="8"/>
        <v>#NUM!</v>
      </c>
      <c r="D203" s="21" t="e">
        <f t="shared" si="10"/>
        <v>#NUM!</v>
      </c>
      <c r="E203" s="22" t="e">
        <f>(IF('Modelos de TES'!$J$3='Base de datos '!B203,'Modelos de TES'!$K$3+'Modelos de TES'!$G$3,'Modelos de TES'!$K$3))/((1+'Modelos de TES'!$I$3)^('Base de datos '!D203/365))</f>
        <v>#NUM!</v>
      </c>
      <c r="F203" s="24" t="e">
        <f>IF('Modelos de TES'!$J$3&gt;='Base de datos '!B203,'Base de datos '!E203,0)</f>
        <v>#NUM!</v>
      </c>
    </row>
    <row r="204" spans="2:6" x14ac:dyDescent="0.3">
      <c r="B204" s="19">
        <f t="shared" si="9"/>
        <v>202</v>
      </c>
      <c r="C204" s="20" t="e">
        <f t="shared" si="8"/>
        <v>#NUM!</v>
      </c>
      <c r="D204" s="21" t="e">
        <f t="shared" si="10"/>
        <v>#NUM!</v>
      </c>
      <c r="E204" s="22" t="e">
        <f>(IF('Modelos de TES'!$J$3='Base de datos '!B204,'Modelos de TES'!$K$3+'Modelos de TES'!$G$3,'Modelos de TES'!$K$3))/((1+'Modelos de TES'!$I$3)^('Base de datos '!D204/365))</f>
        <v>#NUM!</v>
      </c>
      <c r="F204" s="24" t="e">
        <f>IF('Modelos de TES'!$J$3&gt;='Base de datos '!B204,'Base de datos '!E204,0)</f>
        <v>#NUM!</v>
      </c>
    </row>
    <row r="205" spans="2:6" x14ac:dyDescent="0.3">
      <c r="B205" s="19">
        <f t="shared" si="9"/>
        <v>203</v>
      </c>
      <c r="C205" s="20" t="e">
        <f t="shared" ref="C205:C268" si="11">COUPNCD(C204,$A$2,1,3)</f>
        <v>#NUM!</v>
      </c>
      <c r="D205" s="21" t="e">
        <f t="shared" si="10"/>
        <v>#NUM!</v>
      </c>
      <c r="E205" s="22" t="e">
        <f>(IF('Modelos de TES'!$J$3='Base de datos '!B205,'Modelos de TES'!$K$3+'Modelos de TES'!$G$3,'Modelos de TES'!$K$3))/((1+'Modelos de TES'!$I$3)^('Base de datos '!D205/365))</f>
        <v>#NUM!</v>
      </c>
      <c r="F205" s="24" t="e">
        <f>IF('Modelos de TES'!$J$3&gt;='Base de datos '!B205,'Base de datos '!E205,0)</f>
        <v>#NUM!</v>
      </c>
    </row>
    <row r="206" spans="2:6" x14ac:dyDescent="0.3">
      <c r="B206" s="19">
        <f t="shared" ref="B206:B269" si="12">B205+1</f>
        <v>204</v>
      </c>
      <c r="C206" s="20" t="e">
        <f t="shared" si="11"/>
        <v>#NUM!</v>
      </c>
      <c r="D206" s="21" t="e">
        <f t="shared" si="10"/>
        <v>#NUM!</v>
      </c>
      <c r="E206" s="22" t="e">
        <f>(IF('Modelos de TES'!$J$3='Base de datos '!B206,'Modelos de TES'!$K$3+'Modelos de TES'!$G$3,'Modelos de TES'!$K$3))/((1+'Modelos de TES'!$I$3)^('Base de datos '!D206/365))</f>
        <v>#NUM!</v>
      </c>
      <c r="F206" s="24" t="e">
        <f>IF('Modelos de TES'!$J$3&gt;='Base de datos '!B206,'Base de datos '!E206,0)</f>
        <v>#NUM!</v>
      </c>
    </row>
    <row r="207" spans="2:6" x14ac:dyDescent="0.3">
      <c r="B207" s="19">
        <f t="shared" si="12"/>
        <v>205</v>
      </c>
      <c r="C207" s="20" t="e">
        <f t="shared" si="11"/>
        <v>#NUM!</v>
      </c>
      <c r="D207" s="21" t="e">
        <f t="shared" si="10"/>
        <v>#NUM!</v>
      </c>
      <c r="E207" s="22" t="e">
        <f>(IF('Modelos de TES'!$J$3='Base de datos '!B207,'Modelos de TES'!$K$3+'Modelos de TES'!$G$3,'Modelos de TES'!$K$3))/((1+'Modelos de TES'!$I$3)^('Base de datos '!D207/365))</f>
        <v>#NUM!</v>
      </c>
      <c r="F207" s="24" t="e">
        <f>IF('Modelos de TES'!$J$3&gt;='Base de datos '!B207,'Base de datos '!E207,0)</f>
        <v>#NUM!</v>
      </c>
    </row>
    <row r="208" spans="2:6" x14ac:dyDescent="0.3">
      <c r="B208" s="19">
        <f t="shared" si="12"/>
        <v>206</v>
      </c>
      <c r="C208" s="20" t="e">
        <f t="shared" si="11"/>
        <v>#NUM!</v>
      </c>
      <c r="D208" s="21" t="e">
        <f t="shared" si="10"/>
        <v>#NUM!</v>
      </c>
      <c r="E208" s="22" t="e">
        <f>(IF('Modelos de TES'!$J$3='Base de datos '!B208,'Modelos de TES'!$K$3+'Modelos de TES'!$G$3,'Modelos de TES'!$K$3))/((1+'Modelos de TES'!$I$3)^('Base de datos '!D208/365))</f>
        <v>#NUM!</v>
      </c>
      <c r="F208" s="24" t="e">
        <f>IF('Modelos de TES'!$J$3&gt;='Base de datos '!B208,'Base de datos '!E208,0)</f>
        <v>#NUM!</v>
      </c>
    </row>
    <row r="209" spans="2:6" x14ac:dyDescent="0.3">
      <c r="B209" s="19">
        <f t="shared" si="12"/>
        <v>207</v>
      </c>
      <c r="C209" s="20" t="e">
        <f t="shared" si="11"/>
        <v>#NUM!</v>
      </c>
      <c r="D209" s="21" t="e">
        <f t="shared" si="10"/>
        <v>#NUM!</v>
      </c>
      <c r="E209" s="22" t="e">
        <f>(IF('Modelos de TES'!$J$3='Base de datos '!B209,'Modelos de TES'!$K$3+'Modelos de TES'!$G$3,'Modelos de TES'!$K$3))/((1+'Modelos de TES'!$I$3)^('Base de datos '!D209/365))</f>
        <v>#NUM!</v>
      </c>
      <c r="F209" s="24" t="e">
        <f>IF('Modelos de TES'!$J$3&gt;='Base de datos '!B209,'Base de datos '!E209,0)</f>
        <v>#NUM!</v>
      </c>
    </row>
    <row r="210" spans="2:6" x14ac:dyDescent="0.3">
      <c r="B210" s="19">
        <f t="shared" si="12"/>
        <v>208</v>
      </c>
      <c r="C210" s="20" t="e">
        <f t="shared" si="11"/>
        <v>#NUM!</v>
      </c>
      <c r="D210" s="21" t="e">
        <f t="shared" si="10"/>
        <v>#NUM!</v>
      </c>
      <c r="E210" s="22" t="e">
        <f>(IF('Modelos de TES'!$J$3='Base de datos '!B210,'Modelos de TES'!$K$3+'Modelos de TES'!$G$3,'Modelos de TES'!$K$3))/((1+'Modelos de TES'!$I$3)^('Base de datos '!D210/365))</f>
        <v>#NUM!</v>
      </c>
      <c r="F210" s="24" t="e">
        <f>IF('Modelos de TES'!$J$3&gt;='Base de datos '!B210,'Base de datos '!E210,0)</f>
        <v>#NUM!</v>
      </c>
    </row>
    <row r="211" spans="2:6" x14ac:dyDescent="0.3">
      <c r="B211" s="19">
        <f t="shared" si="12"/>
        <v>209</v>
      </c>
      <c r="C211" s="20" t="e">
        <f t="shared" si="11"/>
        <v>#NUM!</v>
      </c>
      <c r="D211" s="21" t="e">
        <f t="shared" si="10"/>
        <v>#NUM!</v>
      </c>
      <c r="E211" s="22" t="e">
        <f>(IF('Modelos de TES'!$J$3='Base de datos '!B211,'Modelos de TES'!$K$3+'Modelos de TES'!$G$3,'Modelos de TES'!$K$3))/((1+'Modelos de TES'!$I$3)^('Base de datos '!D211/365))</f>
        <v>#NUM!</v>
      </c>
      <c r="F211" s="24" t="e">
        <f>IF('Modelos de TES'!$J$3&gt;='Base de datos '!B211,'Base de datos '!E211,0)</f>
        <v>#NUM!</v>
      </c>
    </row>
    <row r="212" spans="2:6" x14ac:dyDescent="0.3">
      <c r="B212" s="19">
        <f t="shared" si="12"/>
        <v>210</v>
      </c>
      <c r="C212" s="20" t="e">
        <f t="shared" si="11"/>
        <v>#NUM!</v>
      </c>
      <c r="D212" s="21" t="e">
        <f t="shared" si="10"/>
        <v>#NUM!</v>
      </c>
      <c r="E212" s="22" t="e">
        <f>(IF('Modelos de TES'!$J$3='Base de datos '!B212,'Modelos de TES'!$K$3+'Modelos de TES'!$G$3,'Modelos de TES'!$K$3))/((1+'Modelos de TES'!$I$3)^('Base de datos '!D212/365))</f>
        <v>#NUM!</v>
      </c>
      <c r="F212" s="24" t="e">
        <f>IF('Modelos de TES'!$J$3&gt;='Base de datos '!B212,'Base de datos '!E212,0)</f>
        <v>#NUM!</v>
      </c>
    </row>
    <row r="213" spans="2:6" x14ac:dyDescent="0.3">
      <c r="B213" s="19">
        <f t="shared" si="12"/>
        <v>211</v>
      </c>
      <c r="C213" s="20" t="e">
        <f t="shared" si="11"/>
        <v>#NUM!</v>
      </c>
      <c r="D213" s="21" t="e">
        <f t="shared" si="10"/>
        <v>#NUM!</v>
      </c>
      <c r="E213" s="22" t="e">
        <f>(IF('Modelos de TES'!$J$3='Base de datos '!B213,'Modelos de TES'!$K$3+'Modelos de TES'!$G$3,'Modelos de TES'!$K$3))/((1+'Modelos de TES'!$I$3)^('Base de datos '!D213/365))</f>
        <v>#NUM!</v>
      </c>
      <c r="F213" s="24" t="e">
        <f>IF('Modelos de TES'!$J$3&gt;='Base de datos '!B213,'Base de datos '!E213,0)</f>
        <v>#NUM!</v>
      </c>
    </row>
    <row r="214" spans="2:6" x14ac:dyDescent="0.3">
      <c r="B214" s="19">
        <f t="shared" si="12"/>
        <v>212</v>
      </c>
      <c r="C214" s="20" t="e">
        <f t="shared" si="11"/>
        <v>#NUM!</v>
      </c>
      <c r="D214" s="21" t="e">
        <f t="shared" si="10"/>
        <v>#NUM!</v>
      </c>
      <c r="E214" s="22" t="e">
        <f>(IF('Modelos de TES'!$J$3='Base de datos '!B214,'Modelos de TES'!$K$3+'Modelos de TES'!$G$3,'Modelos de TES'!$K$3))/((1+'Modelos de TES'!$I$3)^('Base de datos '!D214/365))</f>
        <v>#NUM!</v>
      </c>
      <c r="F214" s="24" t="e">
        <f>IF('Modelos de TES'!$J$3&gt;='Base de datos '!B214,'Base de datos '!E214,0)</f>
        <v>#NUM!</v>
      </c>
    </row>
    <row r="215" spans="2:6" x14ac:dyDescent="0.3">
      <c r="B215" s="19">
        <f t="shared" si="12"/>
        <v>213</v>
      </c>
      <c r="C215" s="20" t="e">
        <f t="shared" si="11"/>
        <v>#NUM!</v>
      </c>
      <c r="D215" s="21" t="e">
        <f t="shared" si="10"/>
        <v>#NUM!</v>
      </c>
      <c r="E215" s="22" t="e">
        <f>(IF('Modelos de TES'!$J$3='Base de datos '!B215,'Modelos de TES'!$K$3+'Modelos de TES'!$G$3,'Modelos de TES'!$K$3))/((1+'Modelos de TES'!$I$3)^('Base de datos '!D215/365))</f>
        <v>#NUM!</v>
      </c>
      <c r="F215" s="24" t="e">
        <f>IF('Modelos de TES'!$J$3&gt;='Base de datos '!B215,'Base de datos '!E215,0)</f>
        <v>#NUM!</v>
      </c>
    </row>
    <row r="216" spans="2:6" x14ac:dyDescent="0.3">
      <c r="B216" s="19">
        <f t="shared" si="12"/>
        <v>214</v>
      </c>
      <c r="C216" s="20" t="e">
        <f t="shared" si="11"/>
        <v>#NUM!</v>
      </c>
      <c r="D216" s="21" t="e">
        <f t="shared" si="10"/>
        <v>#NUM!</v>
      </c>
      <c r="E216" s="22" t="e">
        <f>(IF('Modelos de TES'!$J$3='Base de datos '!B216,'Modelos de TES'!$K$3+'Modelos de TES'!$G$3,'Modelos de TES'!$K$3))/((1+'Modelos de TES'!$I$3)^('Base de datos '!D216/365))</f>
        <v>#NUM!</v>
      </c>
      <c r="F216" s="24" t="e">
        <f>IF('Modelos de TES'!$J$3&gt;='Base de datos '!B216,'Base de datos '!E216,0)</f>
        <v>#NUM!</v>
      </c>
    </row>
    <row r="217" spans="2:6" x14ac:dyDescent="0.3">
      <c r="B217" s="19">
        <f t="shared" si="12"/>
        <v>215</v>
      </c>
      <c r="C217" s="20" t="e">
        <f t="shared" si="11"/>
        <v>#NUM!</v>
      </c>
      <c r="D217" s="21" t="e">
        <f t="shared" si="10"/>
        <v>#NUM!</v>
      </c>
      <c r="E217" s="22" t="e">
        <f>(IF('Modelos de TES'!$J$3='Base de datos '!B217,'Modelos de TES'!$K$3+'Modelos de TES'!$G$3,'Modelos de TES'!$K$3))/((1+'Modelos de TES'!$I$3)^('Base de datos '!D217/365))</f>
        <v>#NUM!</v>
      </c>
      <c r="F217" s="24" t="e">
        <f>IF('Modelos de TES'!$J$3&gt;='Base de datos '!B217,'Base de datos '!E217,0)</f>
        <v>#NUM!</v>
      </c>
    </row>
    <row r="218" spans="2:6" x14ac:dyDescent="0.3">
      <c r="B218" s="19">
        <f t="shared" si="12"/>
        <v>216</v>
      </c>
      <c r="C218" s="20" t="e">
        <f t="shared" si="11"/>
        <v>#NUM!</v>
      </c>
      <c r="D218" s="21" t="e">
        <f t="shared" si="10"/>
        <v>#NUM!</v>
      </c>
      <c r="E218" s="22" t="e">
        <f>(IF('Modelos de TES'!$J$3='Base de datos '!B218,'Modelos de TES'!$K$3+'Modelos de TES'!$G$3,'Modelos de TES'!$K$3))/((1+'Modelos de TES'!$I$3)^('Base de datos '!D218/365))</f>
        <v>#NUM!</v>
      </c>
      <c r="F218" s="24" t="e">
        <f>IF('Modelos de TES'!$J$3&gt;='Base de datos '!B218,'Base de datos '!E218,0)</f>
        <v>#NUM!</v>
      </c>
    </row>
    <row r="219" spans="2:6" x14ac:dyDescent="0.3">
      <c r="B219" s="19">
        <f t="shared" si="12"/>
        <v>217</v>
      </c>
      <c r="C219" s="20" t="e">
        <f t="shared" si="11"/>
        <v>#NUM!</v>
      </c>
      <c r="D219" s="21" t="e">
        <f t="shared" si="10"/>
        <v>#NUM!</v>
      </c>
      <c r="E219" s="22" t="e">
        <f>(IF('Modelos de TES'!$J$3='Base de datos '!B219,'Modelos de TES'!$K$3+'Modelos de TES'!$G$3,'Modelos de TES'!$K$3))/((1+'Modelos de TES'!$I$3)^('Base de datos '!D219/365))</f>
        <v>#NUM!</v>
      </c>
      <c r="F219" s="24" t="e">
        <f>IF('Modelos de TES'!$J$3&gt;='Base de datos '!B219,'Base de datos '!E219,0)</f>
        <v>#NUM!</v>
      </c>
    </row>
    <row r="220" spans="2:6" x14ac:dyDescent="0.3">
      <c r="B220" s="19">
        <f t="shared" si="12"/>
        <v>218</v>
      </c>
      <c r="C220" s="20" t="e">
        <f t="shared" si="11"/>
        <v>#NUM!</v>
      </c>
      <c r="D220" s="21" t="e">
        <f t="shared" si="10"/>
        <v>#NUM!</v>
      </c>
      <c r="E220" s="22" t="e">
        <f>(IF('Modelos de TES'!$J$3='Base de datos '!B220,'Modelos de TES'!$K$3+'Modelos de TES'!$G$3,'Modelos de TES'!$K$3))/((1+'Modelos de TES'!$I$3)^('Base de datos '!D220/365))</f>
        <v>#NUM!</v>
      </c>
      <c r="F220" s="24" t="e">
        <f>IF('Modelos de TES'!$J$3&gt;='Base de datos '!B220,'Base de datos '!E220,0)</f>
        <v>#NUM!</v>
      </c>
    </row>
    <row r="221" spans="2:6" x14ac:dyDescent="0.3">
      <c r="B221" s="19">
        <f t="shared" si="12"/>
        <v>219</v>
      </c>
      <c r="C221" s="20" t="e">
        <f t="shared" si="11"/>
        <v>#NUM!</v>
      </c>
      <c r="D221" s="21" t="e">
        <f t="shared" si="10"/>
        <v>#NUM!</v>
      </c>
      <c r="E221" s="22" t="e">
        <f>(IF('Modelos de TES'!$J$3='Base de datos '!B221,'Modelos de TES'!$K$3+'Modelos de TES'!$G$3,'Modelos de TES'!$K$3))/((1+'Modelos de TES'!$I$3)^('Base de datos '!D221/365))</f>
        <v>#NUM!</v>
      </c>
      <c r="F221" s="24" t="e">
        <f>IF('Modelos de TES'!$J$3&gt;='Base de datos '!B221,'Base de datos '!E221,0)</f>
        <v>#NUM!</v>
      </c>
    </row>
    <row r="222" spans="2:6" x14ac:dyDescent="0.3">
      <c r="B222" s="19">
        <f t="shared" si="12"/>
        <v>220</v>
      </c>
      <c r="C222" s="20" t="e">
        <f t="shared" si="11"/>
        <v>#NUM!</v>
      </c>
      <c r="D222" s="21" t="e">
        <f t="shared" si="10"/>
        <v>#NUM!</v>
      </c>
      <c r="E222" s="22" t="e">
        <f>(IF('Modelos de TES'!$J$3='Base de datos '!B222,'Modelos de TES'!$K$3+'Modelos de TES'!$G$3,'Modelos de TES'!$K$3))/((1+'Modelos de TES'!$I$3)^('Base de datos '!D222/365))</f>
        <v>#NUM!</v>
      </c>
      <c r="F222" s="24" t="e">
        <f>IF('Modelos de TES'!$J$3&gt;='Base de datos '!B222,'Base de datos '!E222,0)</f>
        <v>#NUM!</v>
      </c>
    </row>
    <row r="223" spans="2:6" x14ac:dyDescent="0.3">
      <c r="B223" s="19">
        <f t="shared" si="12"/>
        <v>221</v>
      </c>
      <c r="C223" s="20" t="e">
        <f t="shared" si="11"/>
        <v>#NUM!</v>
      </c>
      <c r="D223" s="21" t="e">
        <f t="shared" si="10"/>
        <v>#NUM!</v>
      </c>
      <c r="E223" s="22" t="e">
        <f>(IF('Modelos de TES'!$J$3='Base de datos '!B223,'Modelos de TES'!$K$3+'Modelos de TES'!$G$3,'Modelos de TES'!$K$3))/((1+'Modelos de TES'!$I$3)^('Base de datos '!D223/365))</f>
        <v>#NUM!</v>
      </c>
      <c r="F223" s="24" t="e">
        <f>IF('Modelos de TES'!$J$3&gt;='Base de datos '!B223,'Base de datos '!E223,0)</f>
        <v>#NUM!</v>
      </c>
    </row>
    <row r="224" spans="2:6" x14ac:dyDescent="0.3">
      <c r="B224" s="19">
        <f t="shared" si="12"/>
        <v>222</v>
      </c>
      <c r="C224" s="20" t="e">
        <f t="shared" si="11"/>
        <v>#NUM!</v>
      </c>
      <c r="D224" s="21" t="e">
        <f t="shared" si="10"/>
        <v>#NUM!</v>
      </c>
      <c r="E224" s="22" t="e">
        <f>(IF('Modelos de TES'!$J$3='Base de datos '!B224,'Modelos de TES'!$K$3+'Modelos de TES'!$G$3,'Modelos de TES'!$K$3))/((1+'Modelos de TES'!$I$3)^('Base de datos '!D224/365))</f>
        <v>#NUM!</v>
      </c>
      <c r="F224" s="24" t="e">
        <f>IF('Modelos de TES'!$J$3&gt;='Base de datos '!B224,'Base de datos '!E224,0)</f>
        <v>#NUM!</v>
      </c>
    </row>
    <row r="225" spans="2:6" x14ac:dyDescent="0.3">
      <c r="B225" s="19">
        <f t="shared" si="12"/>
        <v>223</v>
      </c>
      <c r="C225" s="20" t="e">
        <f t="shared" si="11"/>
        <v>#NUM!</v>
      </c>
      <c r="D225" s="21" t="e">
        <f t="shared" si="10"/>
        <v>#NUM!</v>
      </c>
      <c r="E225" s="22" t="e">
        <f>(IF('Modelos de TES'!$J$3='Base de datos '!B225,'Modelos de TES'!$K$3+'Modelos de TES'!$G$3,'Modelos de TES'!$K$3))/((1+'Modelos de TES'!$I$3)^('Base de datos '!D225/365))</f>
        <v>#NUM!</v>
      </c>
      <c r="F225" s="24" t="e">
        <f>IF('Modelos de TES'!$J$3&gt;='Base de datos '!B225,'Base de datos '!E225,0)</f>
        <v>#NUM!</v>
      </c>
    </row>
    <row r="226" spans="2:6" x14ac:dyDescent="0.3">
      <c r="B226" s="19">
        <f t="shared" si="12"/>
        <v>224</v>
      </c>
      <c r="C226" s="20" t="e">
        <f t="shared" si="11"/>
        <v>#NUM!</v>
      </c>
      <c r="D226" s="21" t="e">
        <f t="shared" si="10"/>
        <v>#NUM!</v>
      </c>
      <c r="E226" s="22" t="e">
        <f>(IF('Modelos de TES'!$J$3='Base de datos '!B226,'Modelos de TES'!$K$3+'Modelos de TES'!$G$3,'Modelos de TES'!$K$3))/((1+'Modelos de TES'!$I$3)^('Base de datos '!D226/365))</f>
        <v>#NUM!</v>
      </c>
      <c r="F226" s="24" t="e">
        <f>IF('Modelos de TES'!$J$3&gt;='Base de datos '!B226,'Base de datos '!E226,0)</f>
        <v>#NUM!</v>
      </c>
    </row>
    <row r="227" spans="2:6" x14ac:dyDescent="0.3">
      <c r="B227" s="19">
        <f t="shared" si="12"/>
        <v>225</v>
      </c>
      <c r="C227" s="20" t="e">
        <f t="shared" si="11"/>
        <v>#NUM!</v>
      </c>
      <c r="D227" s="21" t="e">
        <f t="shared" si="10"/>
        <v>#NUM!</v>
      </c>
      <c r="E227" s="22" t="e">
        <f>(IF('Modelos de TES'!$J$3='Base de datos '!B227,'Modelos de TES'!$K$3+'Modelos de TES'!$G$3,'Modelos de TES'!$K$3))/((1+'Modelos de TES'!$I$3)^('Base de datos '!D227/365))</f>
        <v>#NUM!</v>
      </c>
      <c r="F227" s="24" t="e">
        <f>IF('Modelos de TES'!$J$3&gt;='Base de datos '!B227,'Base de datos '!E227,0)</f>
        <v>#NUM!</v>
      </c>
    </row>
    <row r="228" spans="2:6" x14ac:dyDescent="0.3">
      <c r="B228" s="19">
        <f t="shared" si="12"/>
        <v>226</v>
      </c>
      <c r="C228" s="20" t="e">
        <f t="shared" si="11"/>
        <v>#NUM!</v>
      </c>
      <c r="D228" s="21" t="e">
        <f t="shared" si="10"/>
        <v>#NUM!</v>
      </c>
      <c r="E228" s="22" t="e">
        <f>(IF('Modelos de TES'!$J$3='Base de datos '!B228,'Modelos de TES'!$K$3+'Modelos de TES'!$G$3,'Modelos de TES'!$K$3))/((1+'Modelos de TES'!$I$3)^('Base de datos '!D228/365))</f>
        <v>#NUM!</v>
      </c>
      <c r="F228" s="24" t="e">
        <f>IF('Modelos de TES'!$J$3&gt;='Base de datos '!B228,'Base de datos '!E228,0)</f>
        <v>#NUM!</v>
      </c>
    </row>
    <row r="229" spans="2:6" x14ac:dyDescent="0.3">
      <c r="B229" s="19">
        <f t="shared" si="12"/>
        <v>227</v>
      </c>
      <c r="C229" s="20" t="e">
        <f t="shared" si="11"/>
        <v>#NUM!</v>
      </c>
      <c r="D229" s="21" t="e">
        <f t="shared" si="10"/>
        <v>#NUM!</v>
      </c>
      <c r="E229" s="22" t="e">
        <f>(IF('Modelos de TES'!$J$3='Base de datos '!B229,'Modelos de TES'!$K$3+'Modelos de TES'!$G$3,'Modelos de TES'!$K$3))/((1+'Modelos de TES'!$I$3)^('Base de datos '!D229/365))</f>
        <v>#NUM!</v>
      </c>
      <c r="F229" s="24" t="e">
        <f>IF('Modelos de TES'!$J$3&gt;='Base de datos '!B229,'Base de datos '!E229,0)</f>
        <v>#NUM!</v>
      </c>
    </row>
    <row r="230" spans="2:6" x14ac:dyDescent="0.3">
      <c r="B230" s="19">
        <f t="shared" si="12"/>
        <v>228</v>
      </c>
      <c r="C230" s="20" t="e">
        <f t="shared" si="11"/>
        <v>#NUM!</v>
      </c>
      <c r="D230" s="21" t="e">
        <f t="shared" si="10"/>
        <v>#NUM!</v>
      </c>
      <c r="E230" s="22" t="e">
        <f>(IF('Modelos de TES'!$J$3='Base de datos '!B230,'Modelos de TES'!$K$3+'Modelos de TES'!$G$3,'Modelos de TES'!$K$3))/((1+'Modelos de TES'!$I$3)^('Base de datos '!D230/365))</f>
        <v>#NUM!</v>
      </c>
      <c r="F230" s="24" t="e">
        <f>IF('Modelos de TES'!$J$3&gt;='Base de datos '!B230,'Base de datos '!E230,0)</f>
        <v>#NUM!</v>
      </c>
    </row>
    <row r="231" spans="2:6" x14ac:dyDescent="0.3">
      <c r="B231" s="19">
        <f t="shared" si="12"/>
        <v>229</v>
      </c>
      <c r="C231" s="20" t="e">
        <f t="shared" si="11"/>
        <v>#NUM!</v>
      </c>
      <c r="D231" s="21" t="e">
        <f t="shared" si="10"/>
        <v>#NUM!</v>
      </c>
      <c r="E231" s="22" t="e">
        <f>(IF('Modelos de TES'!$J$3='Base de datos '!B231,'Modelos de TES'!$K$3+'Modelos de TES'!$G$3,'Modelos de TES'!$K$3))/((1+'Modelos de TES'!$I$3)^('Base de datos '!D231/365))</f>
        <v>#NUM!</v>
      </c>
      <c r="F231" s="24" t="e">
        <f>IF('Modelos de TES'!$J$3&gt;='Base de datos '!B231,'Base de datos '!E231,0)</f>
        <v>#NUM!</v>
      </c>
    </row>
    <row r="232" spans="2:6" x14ac:dyDescent="0.3">
      <c r="B232" s="19">
        <f t="shared" si="12"/>
        <v>230</v>
      </c>
      <c r="C232" s="20" t="e">
        <f t="shared" si="11"/>
        <v>#NUM!</v>
      </c>
      <c r="D232" s="21" t="e">
        <f t="shared" si="10"/>
        <v>#NUM!</v>
      </c>
      <c r="E232" s="22" t="e">
        <f>(IF('Modelos de TES'!$J$3='Base de datos '!B232,'Modelos de TES'!$K$3+'Modelos de TES'!$G$3,'Modelos de TES'!$K$3))/((1+'Modelos de TES'!$I$3)^('Base de datos '!D232/365))</f>
        <v>#NUM!</v>
      </c>
      <c r="F232" s="24" t="e">
        <f>IF('Modelos de TES'!$J$3&gt;='Base de datos '!B232,'Base de datos '!E232,0)</f>
        <v>#NUM!</v>
      </c>
    </row>
    <row r="233" spans="2:6" x14ac:dyDescent="0.3">
      <c r="B233" s="19">
        <f t="shared" si="12"/>
        <v>231</v>
      </c>
      <c r="C233" s="20" t="e">
        <f t="shared" si="11"/>
        <v>#NUM!</v>
      </c>
      <c r="D233" s="21" t="e">
        <f t="shared" si="10"/>
        <v>#NUM!</v>
      </c>
      <c r="E233" s="22" t="e">
        <f>(IF('Modelos de TES'!$J$3='Base de datos '!B233,'Modelos de TES'!$K$3+'Modelos de TES'!$G$3,'Modelos de TES'!$K$3))/((1+'Modelos de TES'!$I$3)^('Base de datos '!D233/365))</f>
        <v>#NUM!</v>
      </c>
      <c r="F233" s="24" t="e">
        <f>IF('Modelos de TES'!$J$3&gt;='Base de datos '!B233,'Base de datos '!E233,0)</f>
        <v>#NUM!</v>
      </c>
    </row>
    <row r="234" spans="2:6" x14ac:dyDescent="0.3">
      <c r="B234" s="19">
        <f t="shared" si="12"/>
        <v>232</v>
      </c>
      <c r="C234" s="20" t="e">
        <f t="shared" si="11"/>
        <v>#NUM!</v>
      </c>
      <c r="D234" s="21" t="e">
        <f t="shared" si="10"/>
        <v>#NUM!</v>
      </c>
      <c r="E234" s="22" t="e">
        <f>(IF('Modelos de TES'!$J$3='Base de datos '!B234,'Modelos de TES'!$K$3+'Modelos de TES'!$G$3,'Modelos de TES'!$K$3))/((1+'Modelos de TES'!$I$3)^('Base de datos '!D234/365))</f>
        <v>#NUM!</v>
      </c>
      <c r="F234" s="24" t="e">
        <f>IF('Modelos de TES'!$J$3&gt;='Base de datos '!B234,'Base de datos '!E234,0)</f>
        <v>#NUM!</v>
      </c>
    </row>
    <row r="235" spans="2:6" x14ac:dyDescent="0.3">
      <c r="B235" s="19">
        <f t="shared" si="12"/>
        <v>233</v>
      </c>
      <c r="C235" s="20" t="e">
        <f t="shared" si="11"/>
        <v>#NUM!</v>
      </c>
      <c r="D235" s="21" t="e">
        <f t="shared" si="10"/>
        <v>#NUM!</v>
      </c>
      <c r="E235" s="22" t="e">
        <f>(IF('Modelos de TES'!$J$3='Base de datos '!B235,'Modelos de TES'!$K$3+'Modelos de TES'!$G$3,'Modelos de TES'!$K$3))/((1+'Modelos de TES'!$I$3)^('Base de datos '!D235/365))</f>
        <v>#NUM!</v>
      </c>
      <c r="F235" s="24" t="e">
        <f>IF('Modelos de TES'!$J$3&gt;='Base de datos '!B235,'Base de datos '!E235,0)</f>
        <v>#NUM!</v>
      </c>
    </row>
    <row r="236" spans="2:6" x14ac:dyDescent="0.3">
      <c r="B236" s="19">
        <f t="shared" si="12"/>
        <v>234</v>
      </c>
      <c r="C236" s="20" t="e">
        <f t="shared" si="11"/>
        <v>#NUM!</v>
      </c>
      <c r="D236" s="21" t="e">
        <f t="shared" si="10"/>
        <v>#NUM!</v>
      </c>
      <c r="E236" s="22" t="e">
        <f>(IF('Modelos de TES'!$J$3='Base de datos '!B236,'Modelos de TES'!$K$3+'Modelos de TES'!$G$3,'Modelos de TES'!$K$3))/((1+'Modelos de TES'!$I$3)^('Base de datos '!D236/365))</f>
        <v>#NUM!</v>
      </c>
      <c r="F236" s="24" t="e">
        <f>IF('Modelos de TES'!$J$3&gt;='Base de datos '!B236,'Base de datos '!E236,0)</f>
        <v>#NUM!</v>
      </c>
    </row>
    <row r="237" spans="2:6" x14ac:dyDescent="0.3">
      <c r="B237" s="19">
        <f t="shared" si="12"/>
        <v>235</v>
      </c>
      <c r="C237" s="20" t="e">
        <f t="shared" si="11"/>
        <v>#NUM!</v>
      </c>
      <c r="D237" s="21" t="e">
        <f t="shared" si="10"/>
        <v>#NUM!</v>
      </c>
      <c r="E237" s="22" t="e">
        <f>(IF('Modelos de TES'!$J$3='Base de datos '!B237,'Modelos de TES'!$K$3+'Modelos de TES'!$G$3,'Modelos de TES'!$K$3))/((1+'Modelos de TES'!$I$3)^('Base de datos '!D237/365))</f>
        <v>#NUM!</v>
      </c>
      <c r="F237" s="24" t="e">
        <f>IF('Modelos de TES'!$J$3&gt;='Base de datos '!B237,'Base de datos '!E237,0)</f>
        <v>#NUM!</v>
      </c>
    </row>
    <row r="238" spans="2:6" x14ac:dyDescent="0.3">
      <c r="B238" s="19">
        <f t="shared" si="12"/>
        <v>236</v>
      </c>
      <c r="C238" s="20" t="e">
        <f t="shared" si="11"/>
        <v>#NUM!</v>
      </c>
      <c r="D238" s="21" t="e">
        <f t="shared" si="10"/>
        <v>#NUM!</v>
      </c>
      <c r="E238" s="22" t="e">
        <f>(IF('Modelos de TES'!$J$3='Base de datos '!B238,'Modelos de TES'!$K$3+'Modelos de TES'!$G$3,'Modelos de TES'!$K$3))/((1+'Modelos de TES'!$I$3)^('Base de datos '!D238/365))</f>
        <v>#NUM!</v>
      </c>
      <c r="F238" s="24" t="e">
        <f>IF('Modelos de TES'!$J$3&gt;='Base de datos '!B238,'Base de datos '!E238,0)</f>
        <v>#NUM!</v>
      </c>
    </row>
    <row r="239" spans="2:6" x14ac:dyDescent="0.3">
      <c r="B239" s="19">
        <f t="shared" si="12"/>
        <v>237</v>
      </c>
      <c r="C239" s="20" t="e">
        <f t="shared" si="11"/>
        <v>#NUM!</v>
      </c>
      <c r="D239" s="21" t="e">
        <f t="shared" si="10"/>
        <v>#NUM!</v>
      </c>
      <c r="E239" s="22" t="e">
        <f>(IF('Modelos de TES'!$J$3='Base de datos '!B239,'Modelos de TES'!$K$3+'Modelos de TES'!$G$3,'Modelos de TES'!$K$3))/((1+'Modelos de TES'!$I$3)^('Base de datos '!D239/365))</f>
        <v>#NUM!</v>
      </c>
      <c r="F239" s="24" t="e">
        <f>IF('Modelos de TES'!$J$3&gt;='Base de datos '!B239,'Base de datos '!E239,0)</f>
        <v>#NUM!</v>
      </c>
    </row>
    <row r="240" spans="2:6" x14ac:dyDescent="0.3">
      <c r="B240" s="19">
        <f t="shared" si="12"/>
        <v>238</v>
      </c>
      <c r="C240" s="20" t="e">
        <f t="shared" si="11"/>
        <v>#NUM!</v>
      </c>
      <c r="D240" s="21" t="e">
        <f t="shared" si="10"/>
        <v>#NUM!</v>
      </c>
      <c r="E240" s="22" t="e">
        <f>(IF('Modelos de TES'!$J$3='Base de datos '!B240,'Modelos de TES'!$K$3+'Modelos de TES'!$G$3,'Modelos de TES'!$K$3))/((1+'Modelos de TES'!$I$3)^('Base de datos '!D240/365))</f>
        <v>#NUM!</v>
      </c>
      <c r="F240" s="24" t="e">
        <f>IF('Modelos de TES'!$J$3&gt;='Base de datos '!B240,'Base de datos '!E240,0)</f>
        <v>#NUM!</v>
      </c>
    </row>
    <row r="241" spans="2:6" x14ac:dyDescent="0.3">
      <c r="B241" s="19">
        <f t="shared" si="12"/>
        <v>239</v>
      </c>
      <c r="C241" s="20" t="e">
        <f t="shared" si="11"/>
        <v>#NUM!</v>
      </c>
      <c r="D241" s="21" t="e">
        <f t="shared" si="10"/>
        <v>#NUM!</v>
      </c>
      <c r="E241" s="22" t="e">
        <f>(IF('Modelos de TES'!$J$3='Base de datos '!B241,'Modelos de TES'!$K$3+'Modelos de TES'!$G$3,'Modelos de TES'!$K$3))/((1+'Modelos de TES'!$I$3)^('Base de datos '!D241/365))</f>
        <v>#NUM!</v>
      </c>
      <c r="F241" s="24" t="e">
        <f>IF('Modelos de TES'!$J$3&gt;='Base de datos '!B241,'Base de datos '!E241,0)</f>
        <v>#NUM!</v>
      </c>
    </row>
    <row r="242" spans="2:6" x14ac:dyDescent="0.3">
      <c r="B242" s="19">
        <f t="shared" si="12"/>
        <v>240</v>
      </c>
      <c r="C242" s="20" t="e">
        <f t="shared" si="11"/>
        <v>#NUM!</v>
      </c>
      <c r="D242" s="21" t="e">
        <f t="shared" si="10"/>
        <v>#NUM!</v>
      </c>
      <c r="E242" s="22" t="e">
        <f>(IF('Modelos de TES'!$J$3='Base de datos '!B242,'Modelos de TES'!$K$3+'Modelos de TES'!$G$3,'Modelos de TES'!$K$3))/((1+'Modelos de TES'!$I$3)^('Base de datos '!D242/365))</f>
        <v>#NUM!</v>
      </c>
      <c r="F242" s="24" t="e">
        <f>IF('Modelos de TES'!$J$3&gt;='Base de datos '!B242,'Base de datos '!E242,0)</f>
        <v>#NUM!</v>
      </c>
    </row>
    <row r="243" spans="2:6" x14ac:dyDescent="0.3">
      <c r="B243" s="19">
        <f t="shared" si="12"/>
        <v>241</v>
      </c>
      <c r="C243" s="20" t="e">
        <f t="shared" si="11"/>
        <v>#NUM!</v>
      </c>
      <c r="D243" s="21" t="e">
        <f t="shared" si="10"/>
        <v>#NUM!</v>
      </c>
      <c r="E243" s="22" t="e">
        <f>(IF('Modelos de TES'!$J$3='Base de datos '!B243,'Modelos de TES'!$K$3+'Modelos de TES'!$G$3,'Modelos de TES'!$K$3))/((1+'Modelos de TES'!$I$3)^('Base de datos '!D243/365))</f>
        <v>#NUM!</v>
      </c>
      <c r="F243" s="24" t="e">
        <f>IF('Modelos de TES'!$J$3&gt;='Base de datos '!B243,'Base de datos '!E243,0)</f>
        <v>#NUM!</v>
      </c>
    </row>
    <row r="244" spans="2:6" x14ac:dyDescent="0.3">
      <c r="B244" s="19">
        <f t="shared" si="12"/>
        <v>242</v>
      </c>
      <c r="C244" s="20" t="e">
        <f t="shared" si="11"/>
        <v>#NUM!</v>
      </c>
      <c r="D244" s="21" t="e">
        <f t="shared" si="10"/>
        <v>#NUM!</v>
      </c>
      <c r="E244" s="22" t="e">
        <f>(IF('Modelos de TES'!$J$3='Base de datos '!B244,'Modelos de TES'!$K$3+'Modelos de TES'!$G$3,'Modelos de TES'!$K$3))/((1+'Modelos de TES'!$I$3)^('Base de datos '!D244/365))</f>
        <v>#NUM!</v>
      </c>
      <c r="F244" s="24" t="e">
        <f>IF('Modelos de TES'!$J$3&gt;='Base de datos '!B244,'Base de datos '!E244,0)</f>
        <v>#NUM!</v>
      </c>
    </row>
    <row r="245" spans="2:6" x14ac:dyDescent="0.3">
      <c r="B245" s="19">
        <f t="shared" si="12"/>
        <v>243</v>
      </c>
      <c r="C245" s="20" t="e">
        <f t="shared" si="11"/>
        <v>#NUM!</v>
      </c>
      <c r="D245" s="21" t="e">
        <f t="shared" si="10"/>
        <v>#NUM!</v>
      </c>
      <c r="E245" s="22" t="e">
        <f>(IF('Modelos de TES'!$J$3='Base de datos '!B245,'Modelos de TES'!$K$3+'Modelos de TES'!$G$3,'Modelos de TES'!$K$3))/((1+'Modelos de TES'!$I$3)^('Base de datos '!D245/365))</f>
        <v>#NUM!</v>
      </c>
      <c r="F245" s="24" t="e">
        <f>IF('Modelos de TES'!$J$3&gt;='Base de datos '!B245,'Base de datos '!E245,0)</f>
        <v>#NUM!</v>
      </c>
    </row>
    <row r="246" spans="2:6" x14ac:dyDescent="0.3">
      <c r="B246" s="19">
        <f t="shared" si="12"/>
        <v>244</v>
      </c>
      <c r="C246" s="20" t="e">
        <f t="shared" si="11"/>
        <v>#NUM!</v>
      </c>
      <c r="D246" s="21" t="e">
        <f t="shared" si="10"/>
        <v>#NUM!</v>
      </c>
      <c r="E246" s="22" t="e">
        <f>(IF('Modelos de TES'!$J$3='Base de datos '!B246,'Modelos de TES'!$K$3+'Modelos de TES'!$G$3,'Modelos de TES'!$K$3))/((1+'Modelos de TES'!$I$3)^('Base de datos '!D246/365))</f>
        <v>#NUM!</v>
      </c>
      <c r="F246" s="24" t="e">
        <f>IF('Modelos de TES'!$J$3&gt;='Base de datos '!B246,'Base de datos '!E246,0)</f>
        <v>#NUM!</v>
      </c>
    </row>
    <row r="247" spans="2:6" x14ac:dyDescent="0.3">
      <c r="B247" s="19">
        <f t="shared" si="12"/>
        <v>245</v>
      </c>
      <c r="C247" s="20" t="e">
        <f t="shared" si="11"/>
        <v>#NUM!</v>
      </c>
      <c r="D247" s="21" t="e">
        <f t="shared" si="10"/>
        <v>#NUM!</v>
      </c>
      <c r="E247" s="22" t="e">
        <f>(IF('Modelos de TES'!$J$3='Base de datos '!B247,'Modelos de TES'!$K$3+'Modelos de TES'!$G$3,'Modelos de TES'!$K$3))/((1+'Modelos de TES'!$I$3)^('Base de datos '!D247/365))</f>
        <v>#NUM!</v>
      </c>
      <c r="F247" s="24" t="e">
        <f>IF('Modelos de TES'!$J$3&gt;='Base de datos '!B247,'Base de datos '!E247,0)</f>
        <v>#NUM!</v>
      </c>
    </row>
    <row r="248" spans="2:6" x14ac:dyDescent="0.3">
      <c r="B248" s="19">
        <f t="shared" si="12"/>
        <v>246</v>
      </c>
      <c r="C248" s="20" t="e">
        <f t="shared" si="11"/>
        <v>#NUM!</v>
      </c>
      <c r="D248" s="21" t="e">
        <f t="shared" si="10"/>
        <v>#NUM!</v>
      </c>
      <c r="E248" s="22" t="e">
        <f>(IF('Modelos de TES'!$J$3='Base de datos '!B248,'Modelos de TES'!$K$3+'Modelos de TES'!$G$3,'Modelos de TES'!$K$3))/((1+'Modelos de TES'!$I$3)^('Base de datos '!D248/365))</f>
        <v>#NUM!</v>
      </c>
      <c r="F248" s="24" t="e">
        <f>IF('Modelos de TES'!$J$3&gt;='Base de datos '!B248,'Base de datos '!E248,0)</f>
        <v>#NUM!</v>
      </c>
    </row>
    <row r="249" spans="2:6" x14ac:dyDescent="0.3">
      <c r="B249" s="19">
        <f t="shared" si="12"/>
        <v>247</v>
      </c>
      <c r="C249" s="20" t="e">
        <f t="shared" si="11"/>
        <v>#NUM!</v>
      </c>
      <c r="D249" s="21" t="e">
        <f t="shared" si="10"/>
        <v>#NUM!</v>
      </c>
      <c r="E249" s="22" t="e">
        <f>(IF('Modelos de TES'!$J$3='Base de datos '!B249,'Modelos de TES'!$K$3+'Modelos de TES'!$G$3,'Modelos de TES'!$K$3))/((1+'Modelos de TES'!$I$3)^('Base de datos '!D249/365))</f>
        <v>#NUM!</v>
      </c>
      <c r="F249" s="24" t="e">
        <f>IF('Modelos de TES'!$J$3&gt;='Base de datos '!B249,'Base de datos '!E249,0)</f>
        <v>#NUM!</v>
      </c>
    </row>
    <row r="250" spans="2:6" x14ac:dyDescent="0.3">
      <c r="B250" s="19">
        <f t="shared" si="12"/>
        <v>248</v>
      </c>
      <c r="C250" s="20" t="e">
        <f t="shared" si="11"/>
        <v>#NUM!</v>
      </c>
      <c r="D250" s="21" t="e">
        <f t="shared" si="10"/>
        <v>#NUM!</v>
      </c>
      <c r="E250" s="22" t="e">
        <f>(IF('Modelos de TES'!$J$3='Base de datos '!B250,'Modelos de TES'!$K$3+'Modelos de TES'!$G$3,'Modelos de TES'!$K$3))/((1+'Modelos de TES'!$I$3)^('Base de datos '!D250/365))</f>
        <v>#NUM!</v>
      </c>
      <c r="F250" s="24" t="e">
        <f>IF('Modelos de TES'!$J$3&gt;='Base de datos '!B250,'Base de datos '!E250,0)</f>
        <v>#NUM!</v>
      </c>
    </row>
    <row r="251" spans="2:6" x14ac:dyDescent="0.3">
      <c r="B251" s="19">
        <f t="shared" si="12"/>
        <v>249</v>
      </c>
      <c r="C251" s="20" t="e">
        <f t="shared" si="11"/>
        <v>#NUM!</v>
      </c>
      <c r="D251" s="21" t="e">
        <f t="shared" si="10"/>
        <v>#NUM!</v>
      </c>
      <c r="E251" s="22" t="e">
        <f>(IF('Modelos de TES'!$J$3='Base de datos '!B251,'Modelos de TES'!$K$3+'Modelos de TES'!$G$3,'Modelos de TES'!$K$3))/((1+'Modelos de TES'!$I$3)^('Base de datos '!D251/365))</f>
        <v>#NUM!</v>
      </c>
      <c r="F251" s="24" t="e">
        <f>IF('Modelos de TES'!$J$3&gt;='Base de datos '!B251,'Base de datos '!E251,0)</f>
        <v>#NUM!</v>
      </c>
    </row>
    <row r="252" spans="2:6" x14ac:dyDescent="0.3">
      <c r="B252" s="19">
        <f t="shared" si="12"/>
        <v>250</v>
      </c>
      <c r="C252" s="20" t="e">
        <f t="shared" si="11"/>
        <v>#NUM!</v>
      </c>
      <c r="D252" s="21" t="e">
        <f t="shared" si="10"/>
        <v>#NUM!</v>
      </c>
      <c r="E252" s="22" t="e">
        <f>(IF('Modelos de TES'!$J$3='Base de datos '!B252,'Modelos de TES'!$K$3+'Modelos de TES'!$G$3,'Modelos de TES'!$K$3))/((1+'Modelos de TES'!$I$3)^('Base de datos '!D252/365))</f>
        <v>#NUM!</v>
      </c>
      <c r="F252" s="24" t="e">
        <f>IF('Modelos de TES'!$J$3&gt;='Base de datos '!B252,'Base de datos '!E252,0)</f>
        <v>#NUM!</v>
      </c>
    </row>
    <row r="253" spans="2:6" x14ac:dyDescent="0.3">
      <c r="B253" s="19">
        <f t="shared" si="12"/>
        <v>251</v>
      </c>
      <c r="C253" s="20" t="e">
        <f t="shared" si="11"/>
        <v>#NUM!</v>
      </c>
      <c r="D253" s="21" t="e">
        <f t="shared" si="10"/>
        <v>#NUM!</v>
      </c>
      <c r="E253" s="22" t="e">
        <f>(IF('Modelos de TES'!$J$3='Base de datos '!B253,'Modelos de TES'!$K$3+'Modelos de TES'!$G$3,'Modelos de TES'!$K$3))/((1+'Modelos de TES'!$I$3)^('Base de datos '!D253/365))</f>
        <v>#NUM!</v>
      </c>
      <c r="F253" s="24" t="e">
        <f>IF('Modelos de TES'!$J$3&gt;='Base de datos '!B253,'Base de datos '!E253,0)</f>
        <v>#NUM!</v>
      </c>
    </row>
    <row r="254" spans="2:6" x14ac:dyDescent="0.3">
      <c r="B254" s="19">
        <f t="shared" si="12"/>
        <v>252</v>
      </c>
      <c r="C254" s="20" t="e">
        <f t="shared" si="11"/>
        <v>#NUM!</v>
      </c>
      <c r="D254" s="21" t="e">
        <f t="shared" si="10"/>
        <v>#NUM!</v>
      </c>
      <c r="E254" s="22" t="e">
        <f>(IF('Modelos de TES'!$J$3='Base de datos '!B254,'Modelos de TES'!$K$3+'Modelos de TES'!$G$3,'Modelos de TES'!$K$3))/((1+'Modelos de TES'!$I$3)^('Base de datos '!D254/365))</f>
        <v>#NUM!</v>
      </c>
      <c r="F254" s="24" t="e">
        <f>IF('Modelos de TES'!$J$3&gt;='Base de datos '!B254,'Base de datos '!E254,0)</f>
        <v>#NUM!</v>
      </c>
    </row>
    <row r="255" spans="2:6" x14ac:dyDescent="0.3">
      <c r="B255" s="19">
        <f t="shared" si="12"/>
        <v>253</v>
      </c>
      <c r="C255" s="20" t="e">
        <f t="shared" si="11"/>
        <v>#NUM!</v>
      </c>
      <c r="D255" s="21" t="e">
        <f t="shared" si="10"/>
        <v>#NUM!</v>
      </c>
      <c r="E255" s="22" t="e">
        <f>(IF('Modelos de TES'!$J$3='Base de datos '!B255,'Modelos de TES'!$K$3+'Modelos de TES'!$G$3,'Modelos de TES'!$K$3))/((1+'Modelos de TES'!$I$3)^('Base de datos '!D255/365))</f>
        <v>#NUM!</v>
      </c>
      <c r="F255" s="24" t="e">
        <f>IF('Modelos de TES'!$J$3&gt;='Base de datos '!B255,'Base de datos '!E255,0)</f>
        <v>#NUM!</v>
      </c>
    </row>
    <row r="256" spans="2:6" x14ac:dyDescent="0.3">
      <c r="B256" s="19">
        <f t="shared" si="12"/>
        <v>254</v>
      </c>
      <c r="C256" s="20" t="e">
        <f t="shared" si="11"/>
        <v>#NUM!</v>
      </c>
      <c r="D256" s="21" t="e">
        <f t="shared" si="10"/>
        <v>#NUM!</v>
      </c>
      <c r="E256" s="22" t="e">
        <f>(IF('Modelos de TES'!$J$3='Base de datos '!B256,'Modelos de TES'!$K$3+'Modelos de TES'!$G$3,'Modelos de TES'!$K$3))/((1+'Modelos de TES'!$I$3)^('Base de datos '!D256/365))</f>
        <v>#NUM!</v>
      </c>
      <c r="F256" s="24" t="e">
        <f>IF('Modelos de TES'!$J$3&gt;='Base de datos '!B256,'Base de datos '!E256,0)</f>
        <v>#NUM!</v>
      </c>
    </row>
    <row r="257" spans="2:6" x14ac:dyDescent="0.3">
      <c r="B257" s="19">
        <f t="shared" si="12"/>
        <v>255</v>
      </c>
      <c r="C257" s="20" t="e">
        <f t="shared" si="11"/>
        <v>#NUM!</v>
      </c>
      <c r="D257" s="21" t="e">
        <f t="shared" si="10"/>
        <v>#NUM!</v>
      </c>
      <c r="E257" s="22" t="e">
        <f>(IF('Modelos de TES'!$J$3='Base de datos '!B257,'Modelos de TES'!$K$3+'Modelos de TES'!$G$3,'Modelos de TES'!$K$3))/((1+'Modelos de TES'!$I$3)^('Base de datos '!D257/365))</f>
        <v>#NUM!</v>
      </c>
      <c r="F257" s="24" t="e">
        <f>IF('Modelos de TES'!$J$3&gt;='Base de datos '!B257,'Base de datos '!E257,0)</f>
        <v>#NUM!</v>
      </c>
    </row>
    <row r="258" spans="2:6" x14ac:dyDescent="0.3">
      <c r="B258" s="19">
        <f t="shared" si="12"/>
        <v>256</v>
      </c>
      <c r="C258" s="20" t="e">
        <f t="shared" si="11"/>
        <v>#NUM!</v>
      </c>
      <c r="D258" s="21" t="e">
        <f t="shared" si="10"/>
        <v>#NUM!</v>
      </c>
      <c r="E258" s="22" t="e">
        <f>(IF('Modelos de TES'!$J$3='Base de datos '!B258,'Modelos de TES'!$K$3+'Modelos de TES'!$G$3,'Modelos de TES'!$K$3))/((1+'Modelos de TES'!$I$3)^('Base de datos '!D258/365))</f>
        <v>#NUM!</v>
      </c>
      <c r="F258" s="24" t="e">
        <f>IF('Modelos de TES'!$J$3&gt;='Base de datos '!B258,'Base de datos '!E258,0)</f>
        <v>#NUM!</v>
      </c>
    </row>
    <row r="259" spans="2:6" x14ac:dyDescent="0.3">
      <c r="B259" s="19">
        <f t="shared" si="12"/>
        <v>257</v>
      </c>
      <c r="C259" s="20" t="e">
        <f t="shared" si="11"/>
        <v>#NUM!</v>
      </c>
      <c r="D259" s="21" t="e">
        <f t="shared" si="10"/>
        <v>#NUM!</v>
      </c>
      <c r="E259" s="22" t="e">
        <f>(IF('Modelos de TES'!$J$3='Base de datos '!B259,'Modelos de TES'!$K$3+'Modelos de TES'!$G$3,'Modelos de TES'!$K$3))/((1+'Modelos de TES'!$I$3)^('Base de datos '!D259/365))</f>
        <v>#NUM!</v>
      </c>
      <c r="F259" s="24" t="e">
        <f>IF('Modelos de TES'!$J$3&gt;='Base de datos '!B259,'Base de datos '!E259,0)</f>
        <v>#NUM!</v>
      </c>
    </row>
    <row r="260" spans="2:6" x14ac:dyDescent="0.3">
      <c r="B260" s="19">
        <f t="shared" si="12"/>
        <v>258</v>
      </c>
      <c r="C260" s="20" t="e">
        <f t="shared" si="11"/>
        <v>#NUM!</v>
      </c>
      <c r="D260" s="21" t="e">
        <f t="shared" si="10"/>
        <v>#NUM!</v>
      </c>
      <c r="E260" s="22" t="e">
        <f>(IF('Modelos de TES'!$J$3='Base de datos '!B260,'Modelos de TES'!$K$3+'Modelos de TES'!$G$3,'Modelos de TES'!$K$3))/((1+'Modelos de TES'!$I$3)^('Base de datos '!D260/365))</f>
        <v>#NUM!</v>
      </c>
      <c r="F260" s="24" t="e">
        <f>IF('Modelos de TES'!$J$3&gt;='Base de datos '!B260,'Base de datos '!E260,0)</f>
        <v>#NUM!</v>
      </c>
    </row>
    <row r="261" spans="2:6" x14ac:dyDescent="0.3">
      <c r="B261" s="19">
        <f t="shared" si="12"/>
        <v>259</v>
      </c>
      <c r="C261" s="20" t="e">
        <f t="shared" si="11"/>
        <v>#NUM!</v>
      </c>
      <c r="D261" s="21" t="e">
        <f t="shared" ref="D261:D324" si="13">D260+365</f>
        <v>#NUM!</v>
      </c>
      <c r="E261" s="22" t="e">
        <f>(IF('Modelos de TES'!$J$3='Base de datos '!B261,'Modelos de TES'!$K$3+'Modelos de TES'!$G$3,'Modelos de TES'!$K$3))/((1+'Modelos de TES'!$I$3)^('Base de datos '!D261/365))</f>
        <v>#NUM!</v>
      </c>
      <c r="F261" s="24" t="e">
        <f>IF('Modelos de TES'!$J$3&gt;='Base de datos '!B261,'Base de datos '!E261,0)</f>
        <v>#NUM!</v>
      </c>
    </row>
    <row r="262" spans="2:6" x14ac:dyDescent="0.3">
      <c r="B262" s="19">
        <f t="shared" si="12"/>
        <v>260</v>
      </c>
      <c r="C262" s="20" t="e">
        <f t="shared" si="11"/>
        <v>#NUM!</v>
      </c>
      <c r="D262" s="21" t="e">
        <f t="shared" si="13"/>
        <v>#NUM!</v>
      </c>
      <c r="E262" s="22" t="e">
        <f>(IF('Modelos de TES'!$J$3='Base de datos '!B262,'Modelos de TES'!$K$3+'Modelos de TES'!$G$3,'Modelos de TES'!$K$3))/((1+'Modelos de TES'!$I$3)^('Base de datos '!D262/365))</f>
        <v>#NUM!</v>
      </c>
      <c r="F262" s="24" t="e">
        <f>IF('Modelos de TES'!$J$3&gt;='Base de datos '!B262,'Base de datos '!E262,0)</f>
        <v>#NUM!</v>
      </c>
    </row>
    <row r="263" spans="2:6" x14ac:dyDescent="0.3">
      <c r="B263" s="19">
        <f t="shared" si="12"/>
        <v>261</v>
      </c>
      <c r="C263" s="20" t="e">
        <f t="shared" si="11"/>
        <v>#NUM!</v>
      </c>
      <c r="D263" s="21" t="e">
        <f t="shared" si="13"/>
        <v>#NUM!</v>
      </c>
      <c r="E263" s="22" t="e">
        <f>(IF('Modelos de TES'!$J$3='Base de datos '!B263,'Modelos de TES'!$K$3+'Modelos de TES'!$G$3,'Modelos de TES'!$K$3))/((1+'Modelos de TES'!$I$3)^('Base de datos '!D263/365))</f>
        <v>#NUM!</v>
      </c>
      <c r="F263" s="24" t="e">
        <f>IF('Modelos de TES'!$J$3&gt;='Base de datos '!B263,'Base de datos '!E263,0)</f>
        <v>#NUM!</v>
      </c>
    </row>
    <row r="264" spans="2:6" x14ac:dyDescent="0.3">
      <c r="B264" s="19">
        <f t="shared" si="12"/>
        <v>262</v>
      </c>
      <c r="C264" s="20" t="e">
        <f t="shared" si="11"/>
        <v>#NUM!</v>
      </c>
      <c r="D264" s="21" t="e">
        <f t="shared" si="13"/>
        <v>#NUM!</v>
      </c>
      <c r="E264" s="22" t="e">
        <f>(IF('Modelos de TES'!$J$3='Base de datos '!B264,'Modelos de TES'!$K$3+'Modelos de TES'!$G$3,'Modelos de TES'!$K$3))/((1+'Modelos de TES'!$I$3)^('Base de datos '!D264/365))</f>
        <v>#NUM!</v>
      </c>
      <c r="F264" s="24" t="e">
        <f>IF('Modelos de TES'!$J$3&gt;='Base de datos '!B264,'Base de datos '!E264,0)</f>
        <v>#NUM!</v>
      </c>
    </row>
    <row r="265" spans="2:6" x14ac:dyDescent="0.3">
      <c r="B265" s="19">
        <f t="shared" si="12"/>
        <v>263</v>
      </c>
      <c r="C265" s="20" t="e">
        <f t="shared" si="11"/>
        <v>#NUM!</v>
      </c>
      <c r="D265" s="21" t="e">
        <f t="shared" si="13"/>
        <v>#NUM!</v>
      </c>
      <c r="E265" s="22" t="e">
        <f>(IF('Modelos de TES'!$J$3='Base de datos '!B265,'Modelos de TES'!$K$3+'Modelos de TES'!$G$3,'Modelos de TES'!$K$3))/((1+'Modelos de TES'!$I$3)^('Base de datos '!D265/365))</f>
        <v>#NUM!</v>
      </c>
      <c r="F265" s="24" t="e">
        <f>IF('Modelos de TES'!$J$3&gt;='Base de datos '!B265,'Base de datos '!E265,0)</f>
        <v>#NUM!</v>
      </c>
    </row>
    <row r="266" spans="2:6" x14ac:dyDescent="0.3">
      <c r="B266" s="19">
        <f t="shared" si="12"/>
        <v>264</v>
      </c>
      <c r="C266" s="20" t="e">
        <f t="shared" si="11"/>
        <v>#NUM!</v>
      </c>
      <c r="D266" s="21" t="e">
        <f t="shared" si="13"/>
        <v>#NUM!</v>
      </c>
      <c r="E266" s="22" t="e">
        <f>(IF('Modelos de TES'!$J$3='Base de datos '!B266,'Modelos de TES'!$K$3+'Modelos de TES'!$G$3,'Modelos de TES'!$K$3))/((1+'Modelos de TES'!$I$3)^('Base de datos '!D266/365))</f>
        <v>#NUM!</v>
      </c>
      <c r="F266" s="24" t="e">
        <f>IF('Modelos de TES'!$J$3&gt;='Base de datos '!B266,'Base de datos '!E266,0)</f>
        <v>#NUM!</v>
      </c>
    </row>
    <row r="267" spans="2:6" x14ac:dyDescent="0.3">
      <c r="B267" s="19">
        <f t="shared" si="12"/>
        <v>265</v>
      </c>
      <c r="C267" s="20" t="e">
        <f t="shared" si="11"/>
        <v>#NUM!</v>
      </c>
      <c r="D267" s="21" t="e">
        <f t="shared" si="13"/>
        <v>#NUM!</v>
      </c>
      <c r="E267" s="22" t="e">
        <f>(IF('Modelos de TES'!$J$3='Base de datos '!B267,'Modelos de TES'!$K$3+'Modelos de TES'!$G$3,'Modelos de TES'!$K$3))/((1+'Modelos de TES'!$I$3)^('Base de datos '!D267/365))</f>
        <v>#NUM!</v>
      </c>
      <c r="F267" s="24" t="e">
        <f>IF('Modelos de TES'!$J$3&gt;='Base de datos '!B267,'Base de datos '!E267,0)</f>
        <v>#NUM!</v>
      </c>
    </row>
    <row r="268" spans="2:6" x14ac:dyDescent="0.3">
      <c r="B268" s="19">
        <f t="shared" si="12"/>
        <v>266</v>
      </c>
      <c r="C268" s="20" t="e">
        <f t="shared" si="11"/>
        <v>#NUM!</v>
      </c>
      <c r="D268" s="21" t="e">
        <f t="shared" si="13"/>
        <v>#NUM!</v>
      </c>
      <c r="E268" s="22" t="e">
        <f>(IF('Modelos de TES'!$J$3='Base de datos '!B268,'Modelos de TES'!$K$3+'Modelos de TES'!$G$3,'Modelos de TES'!$K$3))/((1+'Modelos de TES'!$I$3)^('Base de datos '!D268/365))</f>
        <v>#NUM!</v>
      </c>
      <c r="F268" s="24" t="e">
        <f>IF('Modelos de TES'!$J$3&gt;='Base de datos '!B268,'Base de datos '!E268,0)</f>
        <v>#NUM!</v>
      </c>
    </row>
    <row r="269" spans="2:6" x14ac:dyDescent="0.3">
      <c r="B269" s="19">
        <f t="shared" si="12"/>
        <v>267</v>
      </c>
      <c r="C269" s="20" t="e">
        <f t="shared" ref="C269:C332" si="14">COUPNCD(C268,$A$2,1,3)</f>
        <v>#NUM!</v>
      </c>
      <c r="D269" s="21" t="e">
        <f t="shared" si="13"/>
        <v>#NUM!</v>
      </c>
      <c r="E269" s="22" t="e">
        <f>(IF('Modelos de TES'!$J$3='Base de datos '!B269,'Modelos de TES'!$K$3+'Modelos de TES'!$G$3,'Modelos de TES'!$K$3))/((1+'Modelos de TES'!$I$3)^('Base de datos '!D269/365))</f>
        <v>#NUM!</v>
      </c>
      <c r="F269" s="24" t="e">
        <f>IF('Modelos de TES'!$J$3&gt;='Base de datos '!B269,'Base de datos '!E269,0)</f>
        <v>#NUM!</v>
      </c>
    </row>
    <row r="270" spans="2:6" x14ac:dyDescent="0.3">
      <c r="B270" s="19">
        <f t="shared" ref="B270:B333" si="15">B269+1</f>
        <v>268</v>
      </c>
      <c r="C270" s="20" t="e">
        <f t="shared" si="14"/>
        <v>#NUM!</v>
      </c>
      <c r="D270" s="21" t="e">
        <f t="shared" si="13"/>
        <v>#NUM!</v>
      </c>
      <c r="E270" s="22" t="e">
        <f>(IF('Modelos de TES'!$J$3='Base de datos '!B270,'Modelos de TES'!$K$3+'Modelos de TES'!$G$3,'Modelos de TES'!$K$3))/((1+'Modelos de TES'!$I$3)^('Base de datos '!D270/365))</f>
        <v>#NUM!</v>
      </c>
      <c r="F270" s="24" t="e">
        <f>IF('Modelos de TES'!$J$3&gt;='Base de datos '!B270,'Base de datos '!E270,0)</f>
        <v>#NUM!</v>
      </c>
    </row>
    <row r="271" spans="2:6" x14ac:dyDescent="0.3">
      <c r="B271" s="19">
        <f t="shared" si="15"/>
        <v>269</v>
      </c>
      <c r="C271" s="20" t="e">
        <f t="shared" si="14"/>
        <v>#NUM!</v>
      </c>
      <c r="D271" s="21" t="e">
        <f t="shared" si="13"/>
        <v>#NUM!</v>
      </c>
      <c r="E271" s="22" t="e">
        <f>(IF('Modelos de TES'!$J$3='Base de datos '!B271,'Modelos de TES'!$K$3+'Modelos de TES'!$G$3,'Modelos de TES'!$K$3))/((1+'Modelos de TES'!$I$3)^('Base de datos '!D271/365))</f>
        <v>#NUM!</v>
      </c>
      <c r="F271" s="24" t="e">
        <f>IF('Modelos de TES'!$J$3&gt;='Base de datos '!B271,'Base de datos '!E271,0)</f>
        <v>#NUM!</v>
      </c>
    </row>
    <row r="272" spans="2:6" x14ac:dyDescent="0.3">
      <c r="B272" s="19">
        <f t="shared" si="15"/>
        <v>270</v>
      </c>
      <c r="C272" s="20" t="e">
        <f t="shared" si="14"/>
        <v>#NUM!</v>
      </c>
      <c r="D272" s="21" t="e">
        <f t="shared" si="13"/>
        <v>#NUM!</v>
      </c>
      <c r="E272" s="22" t="e">
        <f>(IF('Modelos de TES'!$J$3='Base de datos '!B272,'Modelos de TES'!$K$3+'Modelos de TES'!$G$3,'Modelos de TES'!$K$3))/((1+'Modelos de TES'!$I$3)^('Base de datos '!D272/365))</f>
        <v>#NUM!</v>
      </c>
      <c r="F272" s="24" t="e">
        <f>IF('Modelos de TES'!$J$3&gt;='Base de datos '!B272,'Base de datos '!E272,0)</f>
        <v>#NUM!</v>
      </c>
    </row>
    <row r="273" spans="2:6" x14ac:dyDescent="0.3">
      <c r="B273" s="19">
        <f t="shared" si="15"/>
        <v>271</v>
      </c>
      <c r="C273" s="20" t="e">
        <f t="shared" si="14"/>
        <v>#NUM!</v>
      </c>
      <c r="D273" s="21" t="e">
        <f t="shared" si="13"/>
        <v>#NUM!</v>
      </c>
      <c r="E273" s="22" t="e">
        <f>(IF('Modelos de TES'!$J$3='Base de datos '!B273,'Modelos de TES'!$K$3+'Modelos de TES'!$G$3,'Modelos de TES'!$K$3))/((1+'Modelos de TES'!$I$3)^('Base de datos '!D273/365))</f>
        <v>#NUM!</v>
      </c>
      <c r="F273" s="24" t="e">
        <f>IF('Modelos de TES'!$J$3&gt;='Base de datos '!B273,'Base de datos '!E273,0)</f>
        <v>#NUM!</v>
      </c>
    </row>
    <row r="274" spans="2:6" x14ac:dyDescent="0.3">
      <c r="B274" s="19">
        <f t="shared" si="15"/>
        <v>272</v>
      </c>
      <c r="C274" s="20" t="e">
        <f t="shared" si="14"/>
        <v>#NUM!</v>
      </c>
      <c r="D274" s="21" t="e">
        <f t="shared" si="13"/>
        <v>#NUM!</v>
      </c>
      <c r="E274" s="22" t="e">
        <f>(IF('Modelos de TES'!$J$3='Base de datos '!B274,'Modelos de TES'!$K$3+'Modelos de TES'!$G$3,'Modelos de TES'!$K$3))/((1+'Modelos de TES'!$I$3)^('Base de datos '!D274/365))</f>
        <v>#NUM!</v>
      </c>
      <c r="F274" s="24" t="e">
        <f>IF('Modelos de TES'!$J$3&gt;='Base de datos '!B274,'Base de datos '!E274,0)</f>
        <v>#NUM!</v>
      </c>
    </row>
    <row r="275" spans="2:6" x14ac:dyDescent="0.3">
      <c r="B275" s="19">
        <f t="shared" si="15"/>
        <v>273</v>
      </c>
      <c r="C275" s="20" t="e">
        <f t="shared" si="14"/>
        <v>#NUM!</v>
      </c>
      <c r="D275" s="21" t="e">
        <f t="shared" si="13"/>
        <v>#NUM!</v>
      </c>
      <c r="E275" s="22" t="e">
        <f>(IF('Modelos de TES'!$J$3='Base de datos '!B275,'Modelos de TES'!$K$3+'Modelos de TES'!$G$3,'Modelos de TES'!$K$3))/((1+'Modelos de TES'!$I$3)^('Base de datos '!D275/365))</f>
        <v>#NUM!</v>
      </c>
      <c r="F275" s="24" t="e">
        <f>IF('Modelos de TES'!$J$3&gt;='Base de datos '!B275,'Base de datos '!E275,0)</f>
        <v>#NUM!</v>
      </c>
    </row>
    <row r="276" spans="2:6" x14ac:dyDescent="0.3">
      <c r="B276" s="19">
        <f t="shared" si="15"/>
        <v>274</v>
      </c>
      <c r="C276" s="20" t="e">
        <f t="shared" si="14"/>
        <v>#NUM!</v>
      </c>
      <c r="D276" s="21" t="e">
        <f t="shared" si="13"/>
        <v>#NUM!</v>
      </c>
      <c r="E276" s="22" t="e">
        <f>(IF('Modelos de TES'!$J$3='Base de datos '!B276,'Modelos de TES'!$K$3+'Modelos de TES'!$G$3,'Modelos de TES'!$K$3))/((1+'Modelos de TES'!$I$3)^('Base de datos '!D276/365))</f>
        <v>#NUM!</v>
      </c>
      <c r="F276" s="24" t="e">
        <f>IF('Modelos de TES'!$J$3&gt;='Base de datos '!B276,'Base de datos '!E276,0)</f>
        <v>#NUM!</v>
      </c>
    </row>
    <row r="277" spans="2:6" x14ac:dyDescent="0.3">
      <c r="B277" s="19">
        <f t="shared" si="15"/>
        <v>275</v>
      </c>
      <c r="C277" s="20" t="e">
        <f t="shared" si="14"/>
        <v>#NUM!</v>
      </c>
      <c r="D277" s="21" t="e">
        <f t="shared" si="13"/>
        <v>#NUM!</v>
      </c>
      <c r="E277" s="22" t="e">
        <f>(IF('Modelos de TES'!$J$3='Base de datos '!B277,'Modelos de TES'!$K$3+'Modelos de TES'!$G$3,'Modelos de TES'!$K$3))/((1+'Modelos de TES'!$I$3)^('Base de datos '!D277/365))</f>
        <v>#NUM!</v>
      </c>
      <c r="F277" s="24" t="e">
        <f>IF('Modelos de TES'!$J$3&gt;='Base de datos '!B277,'Base de datos '!E277,0)</f>
        <v>#NUM!</v>
      </c>
    </row>
    <row r="278" spans="2:6" x14ac:dyDescent="0.3">
      <c r="B278" s="19">
        <f t="shared" si="15"/>
        <v>276</v>
      </c>
      <c r="C278" s="20" t="e">
        <f t="shared" si="14"/>
        <v>#NUM!</v>
      </c>
      <c r="D278" s="21" t="e">
        <f t="shared" si="13"/>
        <v>#NUM!</v>
      </c>
      <c r="E278" s="22" t="e">
        <f>(IF('Modelos de TES'!$J$3='Base de datos '!B278,'Modelos de TES'!$K$3+'Modelos de TES'!$G$3,'Modelos de TES'!$K$3))/((1+'Modelos de TES'!$I$3)^('Base de datos '!D278/365))</f>
        <v>#NUM!</v>
      </c>
      <c r="F278" s="24" t="e">
        <f>IF('Modelos de TES'!$J$3&gt;='Base de datos '!B278,'Base de datos '!E278,0)</f>
        <v>#NUM!</v>
      </c>
    </row>
    <row r="279" spans="2:6" x14ac:dyDescent="0.3">
      <c r="B279" s="19">
        <f t="shared" si="15"/>
        <v>277</v>
      </c>
      <c r="C279" s="20" t="e">
        <f t="shared" si="14"/>
        <v>#NUM!</v>
      </c>
      <c r="D279" s="21" t="e">
        <f t="shared" si="13"/>
        <v>#NUM!</v>
      </c>
      <c r="E279" s="22" t="e">
        <f>(IF('Modelos de TES'!$J$3='Base de datos '!B279,'Modelos de TES'!$K$3+'Modelos de TES'!$G$3,'Modelos de TES'!$K$3))/((1+'Modelos de TES'!$I$3)^('Base de datos '!D279/365))</f>
        <v>#NUM!</v>
      </c>
      <c r="F279" s="24" t="e">
        <f>IF('Modelos de TES'!$J$3&gt;='Base de datos '!B279,'Base de datos '!E279,0)</f>
        <v>#NUM!</v>
      </c>
    </row>
    <row r="280" spans="2:6" x14ac:dyDescent="0.3">
      <c r="B280" s="19">
        <f t="shared" si="15"/>
        <v>278</v>
      </c>
      <c r="C280" s="20" t="e">
        <f t="shared" si="14"/>
        <v>#NUM!</v>
      </c>
      <c r="D280" s="21" t="e">
        <f t="shared" si="13"/>
        <v>#NUM!</v>
      </c>
      <c r="E280" s="22" t="e">
        <f>(IF('Modelos de TES'!$J$3='Base de datos '!B280,'Modelos de TES'!$K$3+'Modelos de TES'!$G$3,'Modelos de TES'!$K$3))/((1+'Modelos de TES'!$I$3)^('Base de datos '!D280/365))</f>
        <v>#NUM!</v>
      </c>
      <c r="F280" s="24" t="e">
        <f>IF('Modelos de TES'!$J$3&gt;='Base de datos '!B280,'Base de datos '!E280,0)</f>
        <v>#NUM!</v>
      </c>
    </row>
    <row r="281" spans="2:6" x14ac:dyDescent="0.3">
      <c r="B281" s="19">
        <f t="shared" si="15"/>
        <v>279</v>
      </c>
      <c r="C281" s="20" t="e">
        <f t="shared" si="14"/>
        <v>#NUM!</v>
      </c>
      <c r="D281" s="21" t="e">
        <f t="shared" si="13"/>
        <v>#NUM!</v>
      </c>
      <c r="E281" s="22" t="e">
        <f>(IF('Modelos de TES'!$J$3='Base de datos '!B281,'Modelos de TES'!$K$3+'Modelos de TES'!$G$3,'Modelos de TES'!$K$3))/((1+'Modelos de TES'!$I$3)^('Base de datos '!D281/365))</f>
        <v>#NUM!</v>
      </c>
      <c r="F281" s="24" t="e">
        <f>IF('Modelos de TES'!$J$3&gt;='Base de datos '!B281,'Base de datos '!E281,0)</f>
        <v>#NUM!</v>
      </c>
    </row>
    <row r="282" spans="2:6" x14ac:dyDescent="0.3">
      <c r="B282" s="19">
        <f t="shared" si="15"/>
        <v>280</v>
      </c>
      <c r="C282" s="20" t="e">
        <f t="shared" si="14"/>
        <v>#NUM!</v>
      </c>
      <c r="D282" s="21" t="e">
        <f t="shared" si="13"/>
        <v>#NUM!</v>
      </c>
      <c r="E282" s="22" t="e">
        <f>(IF('Modelos de TES'!$J$3='Base de datos '!B282,'Modelos de TES'!$K$3+'Modelos de TES'!$G$3,'Modelos de TES'!$K$3))/((1+'Modelos de TES'!$I$3)^('Base de datos '!D282/365))</f>
        <v>#NUM!</v>
      </c>
      <c r="F282" s="24" t="e">
        <f>IF('Modelos de TES'!$J$3&gt;='Base de datos '!B282,'Base de datos '!E282,0)</f>
        <v>#NUM!</v>
      </c>
    </row>
    <row r="283" spans="2:6" x14ac:dyDescent="0.3">
      <c r="B283" s="19">
        <f t="shared" si="15"/>
        <v>281</v>
      </c>
      <c r="C283" s="20" t="e">
        <f t="shared" si="14"/>
        <v>#NUM!</v>
      </c>
      <c r="D283" s="21" t="e">
        <f t="shared" si="13"/>
        <v>#NUM!</v>
      </c>
      <c r="E283" s="22" t="e">
        <f>(IF('Modelos de TES'!$J$3='Base de datos '!B283,'Modelos de TES'!$K$3+'Modelos de TES'!$G$3,'Modelos de TES'!$K$3))/((1+'Modelos de TES'!$I$3)^('Base de datos '!D283/365))</f>
        <v>#NUM!</v>
      </c>
      <c r="F283" s="24" t="e">
        <f>IF('Modelos de TES'!$J$3&gt;='Base de datos '!B283,'Base de datos '!E283,0)</f>
        <v>#NUM!</v>
      </c>
    </row>
    <row r="284" spans="2:6" x14ac:dyDescent="0.3">
      <c r="B284" s="19">
        <f t="shared" si="15"/>
        <v>282</v>
      </c>
      <c r="C284" s="20" t="e">
        <f t="shared" si="14"/>
        <v>#NUM!</v>
      </c>
      <c r="D284" s="21" t="e">
        <f t="shared" si="13"/>
        <v>#NUM!</v>
      </c>
      <c r="E284" s="22" t="e">
        <f>(IF('Modelos de TES'!$J$3='Base de datos '!B284,'Modelos de TES'!$K$3+'Modelos de TES'!$G$3,'Modelos de TES'!$K$3))/((1+'Modelos de TES'!$I$3)^('Base de datos '!D284/365))</f>
        <v>#NUM!</v>
      </c>
      <c r="F284" s="24" t="e">
        <f>IF('Modelos de TES'!$J$3&gt;='Base de datos '!B284,'Base de datos '!E284,0)</f>
        <v>#NUM!</v>
      </c>
    </row>
    <row r="285" spans="2:6" x14ac:dyDescent="0.3">
      <c r="B285" s="19">
        <f t="shared" si="15"/>
        <v>283</v>
      </c>
      <c r="C285" s="20" t="e">
        <f t="shared" si="14"/>
        <v>#NUM!</v>
      </c>
      <c r="D285" s="21" t="e">
        <f t="shared" si="13"/>
        <v>#NUM!</v>
      </c>
      <c r="E285" s="22" t="e">
        <f>(IF('Modelos de TES'!$J$3='Base de datos '!B285,'Modelos de TES'!$K$3+'Modelos de TES'!$G$3,'Modelos de TES'!$K$3))/((1+'Modelos de TES'!$I$3)^('Base de datos '!D285/365))</f>
        <v>#NUM!</v>
      </c>
      <c r="F285" s="24" t="e">
        <f>IF('Modelos de TES'!$J$3&gt;='Base de datos '!B285,'Base de datos '!E285,0)</f>
        <v>#NUM!</v>
      </c>
    </row>
    <row r="286" spans="2:6" x14ac:dyDescent="0.3">
      <c r="B286" s="19">
        <f t="shared" si="15"/>
        <v>284</v>
      </c>
      <c r="C286" s="20" t="e">
        <f t="shared" si="14"/>
        <v>#NUM!</v>
      </c>
      <c r="D286" s="21" t="e">
        <f t="shared" si="13"/>
        <v>#NUM!</v>
      </c>
      <c r="E286" s="22" t="e">
        <f>(IF('Modelos de TES'!$J$3='Base de datos '!B286,'Modelos de TES'!$K$3+'Modelos de TES'!$G$3,'Modelos de TES'!$K$3))/((1+'Modelos de TES'!$I$3)^('Base de datos '!D286/365))</f>
        <v>#NUM!</v>
      </c>
      <c r="F286" s="24" t="e">
        <f>IF('Modelos de TES'!$J$3&gt;='Base de datos '!B286,'Base de datos '!E286,0)</f>
        <v>#NUM!</v>
      </c>
    </row>
    <row r="287" spans="2:6" x14ac:dyDescent="0.3">
      <c r="B287" s="19">
        <f t="shared" si="15"/>
        <v>285</v>
      </c>
      <c r="C287" s="20" t="e">
        <f t="shared" si="14"/>
        <v>#NUM!</v>
      </c>
      <c r="D287" s="21" t="e">
        <f t="shared" si="13"/>
        <v>#NUM!</v>
      </c>
      <c r="E287" s="22" t="e">
        <f>(IF('Modelos de TES'!$J$3='Base de datos '!B287,'Modelos de TES'!$K$3+'Modelos de TES'!$G$3,'Modelos de TES'!$K$3))/((1+'Modelos de TES'!$I$3)^('Base de datos '!D287/365))</f>
        <v>#NUM!</v>
      </c>
      <c r="F287" s="24" t="e">
        <f>IF('Modelos de TES'!$J$3&gt;='Base de datos '!B287,'Base de datos '!E287,0)</f>
        <v>#NUM!</v>
      </c>
    </row>
    <row r="288" spans="2:6" x14ac:dyDescent="0.3">
      <c r="B288" s="19">
        <f t="shared" si="15"/>
        <v>286</v>
      </c>
      <c r="C288" s="20" t="e">
        <f t="shared" si="14"/>
        <v>#NUM!</v>
      </c>
      <c r="D288" s="21" t="e">
        <f t="shared" si="13"/>
        <v>#NUM!</v>
      </c>
      <c r="E288" s="22" t="e">
        <f>(IF('Modelos de TES'!$J$3='Base de datos '!B288,'Modelos de TES'!$K$3+'Modelos de TES'!$G$3,'Modelos de TES'!$K$3))/((1+'Modelos de TES'!$I$3)^('Base de datos '!D288/365))</f>
        <v>#NUM!</v>
      </c>
      <c r="F288" s="24" t="e">
        <f>IF('Modelos de TES'!$J$3&gt;='Base de datos '!B288,'Base de datos '!E288,0)</f>
        <v>#NUM!</v>
      </c>
    </row>
    <row r="289" spans="2:6" x14ac:dyDescent="0.3">
      <c r="B289" s="19">
        <f t="shared" si="15"/>
        <v>287</v>
      </c>
      <c r="C289" s="20" t="e">
        <f t="shared" si="14"/>
        <v>#NUM!</v>
      </c>
      <c r="D289" s="21" t="e">
        <f t="shared" si="13"/>
        <v>#NUM!</v>
      </c>
      <c r="E289" s="22" t="e">
        <f>(IF('Modelos de TES'!$J$3='Base de datos '!B289,'Modelos de TES'!$K$3+'Modelos de TES'!$G$3,'Modelos de TES'!$K$3))/((1+'Modelos de TES'!$I$3)^('Base de datos '!D289/365))</f>
        <v>#NUM!</v>
      </c>
      <c r="F289" s="24" t="e">
        <f>IF('Modelos de TES'!$J$3&gt;='Base de datos '!B289,'Base de datos '!E289,0)</f>
        <v>#NUM!</v>
      </c>
    </row>
    <row r="290" spans="2:6" x14ac:dyDescent="0.3">
      <c r="B290" s="19">
        <f t="shared" si="15"/>
        <v>288</v>
      </c>
      <c r="C290" s="20" t="e">
        <f t="shared" si="14"/>
        <v>#NUM!</v>
      </c>
      <c r="D290" s="21" t="e">
        <f t="shared" si="13"/>
        <v>#NUM!</v>
      </c>
      <c r="E290" s="22" t="e">
        <f>(IF('Modelos de TES'!$J$3='Base de datos '!B290,'Modelos de TES'!$K$3+'Modelos de TES'!$G$3,'Modelos de TES'!$K$3))/((1+'Modelos de TES'!$I$3)^('Base de datos '!D290/365))</f>
        <v>#NUM!</v>
      </c>
      <c r="F290" s="24" t="e">
        <f>IF('Modelos de TES'!$J$3&gt;='Base de datos '!B290,'Base de datos '!E290,0)</f>
        <v>#NUM!</v>
      </c>
    </row>
    <row r="291" spans="2:6" x14ac:dyDescent="0.3">
      <c r="B291" s="19">
        <f t="shared" si="15"/>
        <v>289</v>
      </c>
      <c r="C291" s="20" t="e">
        <f t="shared" si="14"/>
        <v>#NUM!</v>
      </c>
      <c r="D291" s="21" t="e">
        <f t="shared" si="13"/>
        <v>#NUM!</v>
      </c>
      <c r="E291" s="22" t="e">
        <f>(IF('Modelos de TES'!$J$3='Base de datos '!B291,'Modelos de TES'!$K$3+'Modelos de TES'!$G$3,'Modelos de TES'!$K$3))/((1+'Modelos de TES'!$I$3)^('Base de datos '!D291/365))</f>
        <v>#NUM!</v>
      </c>
      <c r="F291" s="24" t="e">
        <f>IF('Modelos de TES'!$J$3&gt;='Base de datos '!B291,'Base de datos '!E291,0)</f>
        <v>#NUM!</v>
      </c>
    </row>
    <row r="292" spans="2:6" x14ac:dyDescent="0.3">
      <c r="B292" s="19">
        <f t="shared" si="15"/>
        <v>290</v>
      </c>
      <c r="C292" s="20" t="e">
        <f t="shared" si="14"/>
        <v>#NUM!</v>
      </c>
      <c r="D292" s="21" t="e">
        <f t="shared" si="13"/>
        <v>#NUM!</v>
      </c>
      <c r="E292" s="22" t="e">
        <f>(IF('Modelos de TES'!$J$3='Base de datos '!B292,'Modelos de TES'!$K$3+'Modelos de TES'!$G$3,'Modelos de TES'!$K$3))/((1+'Modelos de TES'!$I$3)^('Base de datos '!D292/365))</f>
        <v>#NUM!</v>
      </c>
      <c r="F292" s="24" t="e">
        <f>IF('Modelos de TES'!$J$3&gt;='Base de datos '!B292,'Base de datos '!E292,0)</f>
        <v>#NUM!</v>
      </c>
    </row>
    <row r="293" spans="2:6" x14ac:dyDescent="0.3">
      <c r="B293" s="19">
        <f t="shared" si="15"/>
        <v>291</v>
      </c>
      <c r="C293" s="20" t="e">
        <f t="shared" si="14"/>
        <v>#NUM!</v>
      </c>
      <c r="D293" s="21" t="e">
        <f t="shared" si="13"/>
        <v>#NUM!</v>
      </c>
      <c r="E293" s="22" t="e">
        <f>(IF('Modelos de TES'!$J$3='Base de datos '!B293,'Modelos de TES'!$K$3+'Modelos de TES'!$G$3,'Modelos de TES'!$K$3))/((1+'Modelos de TES'!$I$3)^('Base de datos '!D293/365))</f>
        <v>#NUM!</v>
      </c>
      <c r="F293" s="24" t="e">
        <f>IF('Modelos de TES'!$J$3&gt;='Base de datos '!B293,'Base de datos '!E293,0)</f>
        <v>#NUM!</v>
      </c>
    </row>
    <row r="294" spans="2:6" x14ac:dyDescent="0.3">
      <c r="B294" s="19">
        <f t="shared" si="15"/>
        <v>292</v>
      </c>
      <c r="C294" s="20" t="e">
        <f t="shared" si="14"/>
        <v>#NUM!</v>
      </c>
      <c r="D294" s="21" t="e">
        <f t="shared" si="13"/>
        <v>#NUM!</v>
      </c>
      <c r="E294" s="22" t="e">
        <f>(IF('Modelos de TES'!$J$3='Base de datos '!B294,'Modelos de TES'!$K$3+'Modelos de TES'!$G$3,'Modelos de TES'!$K$3))/((1+'Modelos de TES'!$I$3)^('Base de datos '!D294/365))</f>
        <v>#NUM!</v>
      </c>
      <c r="F294" s="24" t="e">
        <f>IF('Modelos de TES'!$J$3&gt;='Base de datos '!B294,'Base de datos '!E294,0)</f>
        <v>#NUM!</v>
      </c>
    </row>
    <row r="295" spans="2:6" x14ac:dyDescent="0.3">
      <c r="B295" s="19">
        <f t="shared" si="15"/>
        <v>293</v>
      </c>
      <c r="C295" s="20" t="e">
        <f t="shared" si="14"/>
        <v>#NUM!</v>
      </c>
      <c r="D295" s="21" t="e">
        <f t="shared" si="13"/>
        <v>#NUM!</v>
      </c>
      <c r="E295" s="22" t="e">
        <f>(IF('Modelos de TES'!$J$3='Base de datos '!B295,'Modelos de TES'!$K$3+'Modelos de TES'!$G$3,'Modelos de TES'!$K$3))/((1+'Modelos de TES'!$I$3)^('Base de datos '!D295/365))</f>
        <v>#NUM!</v>
      </c>
      <c r="F295" s="24" t="e">
        <f>IF('Modelos de TES'!$J$3&gt;='Base de datos '!B295,'Base de datos '!E295,0)</f>
        <v>#NUM!</v>
      </c>
    </row>
    <row r="296" spans="2:6" x14ac:dyDescent="0.3">
      <c r="B296" s="19">
        <f t="shared" si="15"/>
        <v>294</v>
      </c>
      <c r="C296" s="20" t="e">
        <f t="shared" si="14"/>
        <v>#NUM!</v>
      </c>
      <c r="D296" s="21" t="e">
        <f t="shared" si="13"/>
        <v>#NUM!</v>
      </c>
      <c r="E296" s="22" t="e">
        <f>(IF('Modelos de TES'!$J$3='Base de datos '!B296,'Modelos de TES'!$K$3+'Modelos de TES'!$G$3,'Modelos de TES'!$K$3))/((1+'Modelos de TES'!$I$3)^('Base de datos '!D296/365))</f>
        <v>#NUM!</v>
      </c>
      <c r="F296" s="24" t="e">
        <f>IF('Modelos de TES'!$J$3&gt;='Base de datos '!B296,'Base de datos '!E296,0)</f>
        <v>#NUM!</v>
      </c>
    </row>
    <row r="297" spans="2:6" x14ac:dyDescent="0.3">
      <c r="B297" s="19">
        <f t="shared" si="15"/>
        <v>295</v>
      </c>
      <c r="C297" s="20" t="e">
        <f t="shared" si="14"/>
        <v>#NUM!</v>
      </c>
      <c r="D297" s="21" t="e">
        <f t="shared" si="13"/>
        <v>#NUM!</v>
      </c>
      <c r="E297" s="22" t="e">
        <f>(IF('Modelos de TES'!$J$3='Base de datos '!B297,'Modelos de TES'!$K$3+'Modelos de TES'!$G$3,'Modelos de TES'!$K$3))/((1+'Modelos de TES'!$I$3)^('Base de datos '!D297/365))</f>
        <v>#NUM!</v>
      </c>
      <c r="F297" s="24" t="e">
        <f>IF('Modelos de TES'!$J$3&gt;='Base de datos '!B297,'Base de datos '!E297,0)</f>
        <v>#NUM!</v>
      </c>
    </row>
    <row r="298" spans="2:6" x14ac:dyDescent="0.3">
      <c r="B298" s="19">
        <f t="shared" si="15"/>
        <v>296</v>
      </c>
      <c r="C298" s="20" t="e">
        <f t="shared" si="14"/>
        <v>#NUM!</v>
      </c>
      <c r="D298" s="21" t="e">
        <f t="shared" si="13"/>
        <v>#NUM!</v>
      </c>
      <c r="E298" s="22" t="e">
        <f>(IF('Modelos de TES'!$J$3='Base de datos '!B298,'Modelos de TES'!$K$3+'Modelos de TES'!$G$3,'Modelos de TES'!$K$3))/((1+'Modelos de TES'!$I$3)^('Base de datos '!D298/365))</f>
        <v>#NUM!</v>
      </c>
      <c r="F298" s="24" t="e">
        <f>IF('Modelos de TES'!$J$3&gt;='Base de datos '!B298,'Base de datos '!E298,0)</f>
        <v>#NUM!</v>
      </c>
    </row>
    <row r="299" spans="2:6" x14ac:dyDescent="0.3">
      <c r="B299" s="19">
        <f t="shared" si="15"/>
        <v>297</v>
      </c>
      <c r="C299" s="20" t="e">
        <f t="shared" si="14"/>
        <v>#NUM!</v>
      </c>
      <c r="D299" s="21" t="e">
        <f t="shared" si="13"/>
        <v>#NUM!</v>
      </c>
      <c r="E299" s="22" t="e">
        <f>(IF('Modelos de TES'!$J$3='Base de datos '!B299,'Modelos de TES'!$K$3+'Modelos de TES'!$G$3,'Modelos de TES'!$K$3))/((1+'Modelos de TES'!$I$3)^('Base de datos '!D299/365))</f>
        <v>#NUM!</v>
      </c>
      <c r="F299" s="24" t="e">
        <f>IF('Modelos de TES'!$J$3&gt;='Base de datos '!B299,'Base de datos '!E299,0)</f>
        <v>#NUM!</v>
      </c>
    </row>
    <row r="300" spans="2:6" x14ac:dyDescent="0.3">
      <c r="B300" s="19">
        <f t="shared" si="15"/>
        <v>298</v>
      </c>
      <c r="C300" s="20" t="e">
        <f t="shared" si="14"/>
        <v>#NUM!</v>
      </c>
      <c r="D300" s="21" t="e">
        <f t="shared" si="13"/>
        <v>#NUM!</v>
      </c>
      <c r="E300" s="22" t="e">
        <f>(IF('Modelos de TES'!$J$3='Base de datos '!B300,'Modelos de TES'!$K$3+'Modelos de TES'!$G$3,'Modelos de TES'!$K$3))/((1+'Modelos de TES'!$I$3)^('Base de datos '!D300/365))</f>
        <v>#NUM!</v>
      </c>
      <c r="F300" s="24" t="e">
        <f>IF('Modelos de TES'!$J$3&gt;='Base de datos '!B300,'Base de datos '!E300,0)</f>
        <v>#NUM!</v>
      </c>
    </row>
    <row r="301" spans="2:6" x14ac:dyDescent="0.3">
      <c r="B301" s="19">
        <f t="shared" si="15"/>
        <v>299</v>
      </c>
      <c r="C301" s="20" t="e">
        <f t="shared" si="14"/>
        <v>#NUM!</v>
      </c>
      <c r="D301" s="21" t="e">
        <f t="shared" si="13"/>
        <v>#NUM!</v>
      </c>
      <c r="E301" s="22" t="e">
        <f>(IF('Modelos de TES'!$J$3='Base de datos '!B301,'Modelos de TES'!$K$3+'Modelos de TES'!$G$3,'Modelos de TES'!$K$3))/((1+'Modelos de TES'!$I$3)^('Base de datos '!D301/365))</f>
        <v>#NUM!</v>
      </c>
      <c r="F301" s="24" t="e">
        <f>IF('Modelos de TES'!$J$3&gt;='Base de datos '!B301,'Base de datos '!E301,0)</f>
        <v>#NUM!</v>
      </c>
    </row>
    <row r="302" spans="2:6" x14ac:dyDescent="0.3">
      <c r="B302" s="19">
        <f t="shared" si="15"/>
        <v>300</v>
      </c>
      <c r="C302" s="20" t="e">
        <f t="shared" si="14"/>
        <v>#NUM!</v>
      </c>
      <c r="D302" s="21" t="e">
        <f t="shared" si="13"/>
        <v>#NUM!</v>
      </c>
      <c r="E302" s="22" t="e">
        <f>(IF('Modelos de TES'!$J$3='Base de datos '!B302,'Modelos de TES'!$K$3+'Modelos de TES'!$G$3,'Modelos de TES'!$K$3))/((1+'Modelos de TES'!$I$3)^('Base de datos '!D302/365))</f>
        <v>#NUM!</v>
      </c>
      <c r="F302" s="24" t="e">
        <f>IF('Modelos de TES'!$J$3&gt;='Base de datos '!B302,'Base de datos '!E302,0)</f>
        <v>#NUM!</v>
      </c>
    </row>
    <row r="303" spans="2:6" x14ac:dyDescent="0.3">
      <c r="B303" s="19">
        <f t="shared" si="15"/>
        <v>301</v>
      </c>
      <c r="C303" s="20" t="e">
        <f t="shared" si="14"/>
        <v>#NUM!</v>
      </c>
      <c r="D303" s="21" t="e">
        <f t="shared" si="13"/>
        <v>#NUM!</v>
      </c>
      <c r="E303" s="22" t="e">
        <f>(IF('Modelos de TES'!$J$3='Base de datos '!B303,'Modelos de TES'!$K$3+'Modelos de TES'!$G$3,'Modelos de TES'!$K$3))/((1+'Modelos de TES'!$I$3)^('Base de datos '!D303/365))</f>
        <v>#NUM!</v>
      </c>
      <c r="F303" s="24" t="e">
        <f>IF('Modelos de TES'!$J$3&gt;='Base de datos '!B303,'Base de datos '!E303,0)</f>
        <v>#NUM!</v>
      </c>
    </row>
    <row r="304" spans="2:6" x14ac:dyDescent="0.3">
      <c r="B304" s="19">
        <f t="shared" si="15"/>
        <v>302</v>
      </c>
      <c r="C304" s="20" t="e">
        <f t="shared" si="14"/>
        <v>#NUM!</v>
      </c>
      <c r="D304" s="21" t="e">
        <f t="shared" si="13"/>
        <v>#NUM!</v>
      </c>
      <c r="E304" s="22" t="e">
        <f>(IF('Modelos de TES'!$J$3='Base de datos '!B304,'Modelos de TES'!$K$3+'Modelos de TES'!$G$3,'Modelos de TES'!$K$3))/((1+'Modelos de TES'!$I$3)^('Base de datos '!D304/365))</f>
        <v>#NUM!</v>
      </c>
      <c r="F304" s="24" t="e">
        <f>IF('Modelos de TES'!$J$3&gt;='Base de datos '!B304,'Base de datos '!E304,0)</f>
        <v>#NUM!</v>
      </c>
    </row>
    <row r="305" spans="2:6" x14ac:dyDescent="0.3">
      <c r="B305" s="19">
        <f t="shared" si="15"/>
        <v>303</v>
      </c>
      <c r="C305" s="20" t="e">
        <f t="shared" si="14"/>
        <v>#NUM!</v>
      </c>
      <c r="D305" s="21" t="e">
        <f t="shared" si="13"/>
        <v>#NUM!</v>
      </c>
      <c r="E305" s="22" t="e">
        <f>(IF('Modelos de TES'!$J$3='Base de datos '!B305,'Modelos de TES'!$K$3+'Modelos de TES'!$G$3,'Modelos de TES'!$K$3))/((1+'Modelos de TES'!$I$3)^('Base de datos '!D305/365))</f>
        <v>#NUM!</v>
      </c>
      <c r="F305" s="24" t="e">
        <f>IF('Modelos de TES'!$J$3&gt;='Base de datos '!B305,'Base de datos '!E305,0)</f>
        <v>#NUM!</v>
      </c>
    </row>
    <row r="306" spans="2:6" x14ac:dyDescent="0.3">
      <c r="B306" s="19">
        <f t="shared" si="15"/>
        <v>304</v>
      </c>
      <c r="C306" s="20" t="e">
        <f t="shared" si="14"/>
        <v>#NUM!</v>
      </c>
      <c r="D306" s="21" t="e">
        <f t="shared" si="13"/>
        <v>#NUM!</v>
      </c>
      <c r="E306" s="22" t="e">
        <f>(IF('Modelos de TES'!$J$3='Base de datos '!B306,'Modelos de TES'!$K$3+'Modelos de TES'!$G$3,'Modelos de TES'!$K$3))/((1+'Modelos de TES'!$I$3)^('Base de datos '!D306/365))</f>
        <v>#NUM!</v>
      </c>
      <c r="F306" s="24" t="e">
        <f>IF('Modelos de TES'!$J$3&gt;='Base de datos '!B306,'Base de datos '!E306,0)</f>
        <v>#NUM!</v>
      </c>
    </row>
    <row r="307" spans="2:6" x14ac:dyDescent="0.3">
      <c r="B307" s="19">
        <f t="shared" si="15"/>
        <v>305</v>
      </c>
      <c r="C307" s="20" t="e">
        <f t="shared" si="14"/>
        <v>#NUM!</v>
      </c>
      <c r="D307" s="21" t="e">
        <f t="shared" si="13"/>
        <v>#NUM!</v>
      </c>
      <c r="E307" s="22" t="e">
        <f>(IF('Modelos de TES'!$J$3='Base de datos '!B307,'Modelos de TES'!$K$3+'Modelos de TES'!$G$3,'Modelos de TES'!$K$3))/((1+'Modelos de TES'!$I$3)^('Base de datos '!D307/365))</f>
        <v>#NUM!</v>
      </c>
      <c r="F307" s="24" t="e">
        <f>IF('Modelos de TES'!$J$3&gt;='Base de datos '!B307,'Base de datos '!E307,0)</f>
        <v>#NUM!</v>
      </c>
    </row>
    <row r="308" spans="2:6" x14ac:dyDescent="0.3">
      <c r="B308" s="19">
        <f t="shared" si="15"/>
        <v>306</v>
      </c>
      <c r="C308" s="20" t="e">
        <f t="shared" si="14"/>
        <v>#NUM!</v>
      </c>
      <c r="D308" s="21" t="e">
        <f t="shared" si="13"/>
        <v>#NUM!</v>
      </c>
      <c r="E308" s="22" t="e">
        <f>(IF('Modelos de TES'!$J$3='Base de datos '!B308,'Modelos de TES'!$K$3+'Modelos de TES'!$G$3,'Modelos de TES'!$K$3))/((1+'Modelos de TES'!$I$3)^('Base de datos '!D308/365))</f>
        <v>#NUM!</v>
      </c>
      <c r="F308" s="24" t="e">
        <f>IF('Modelos de TES'!$J$3&gt;='Base de datos '!B308,'Base de datos '!E308,0)</f>
        <v>#NUM!</v>
      </c>
    </row>
    <row r="309" spans="2:6" x14ac:dyDescent="0.3">
      <c r="B309" s="19">
        <f t="shared" si="15"/>
        <v>307</v>
      </c>
      <c r="C309" s="20" t="e">
        <f t="shared" si="14"/>
        <v>#NUM!</v>
      </c>
      <c r="D309" s="21" t="e">
        <f t="shared" si="13"/>
        <v>#NUM!</v>
      </c>
      <c r="E309" s="22" t="e">
        <f>(IF('Modelos de TES'!$J$3='Base de datos '!B309,'Modelos de TES'!$K$3+'Modelos de TES'!$G$3,'Modelos de TES'!$K$3))/((1+'Modelos de TES'!$I$3)^('Base de datos '!D309/365))</f>
        <v>#NUM!</v>
      </c>
      <c r="F309" s="24" t="e">
        <f>IF('Modelos de TES'!$J$3&gt;='Base de datos '!B309,'Base de datos '!E309,0)</f>
        <v>#NUM!</v>
      </c>
    </row>
    <row r="310" spans="2:6" x14ac:dyDescent="0.3">
      <c r="B310" s="19">
        <f t="shared" si="15"/>
        <v>308</v>
      </c>
      <c r="C310" s="20" t="e">
        <f t="shared" si="14"/>
        <v>#NUM!</v>
      </c>
      <c r="D310" s="21" t="e">
        <f t="shared" si="13"/>
        <v>#NUM!</v>
      </c>
      <c r="E310" s="22" t="e">
        <f>(IF('Modelos de TES'!$J$3='Base de datos '!B310,'Modelos de TES'!$K$3+'Modelos de TES'!$G$3,'Modelos de TES'!$K$3))/((1+'Modelos de TES'!$I$3)^('Base de datos '!D310/365))</f>
        <v>#NUM!</v>
      </c>
      <c r="F310" s="24" t="e">
        <f>IF('Modelos de TES'!$J$3&gt;='Base de datos '!B310,'Base de datos '!E310,0)</f>
        <v>#NUM!</v>
      </c>
    </row>
    <row r="311" spans="2:6" x14ac:dyDescent="0.3">
      <c r="B311" s="19">
        <f t="shared" si="15"/>
        <v>309</v>
      </c>
      <c r="C311" s="20" t="e">
        <f t="shared" si="14"/>
        <v>#NUM!</v>
      </c>
      <c r="D311" s="21" t="e">
        <f t="shared" si="13"/>
        <v>#NUM!</v>
      </c>
      <c r="E311" s="22" t="e">
        <f>(IF('Modelos de TES'!$J$3='Base de datos '!B311,'Modelos de TES'!$K$3+'Modelos de TES'!$G$3,'Modelos de TES'!$K$3))/((1+'Modelos de TES'!$I$3)^('Base de datos '!D311/365))</f>
        <v>#NUM!</v>
      </c>
      <c r="F311" s="24" t="e">
        <f>IF('Modelos de TES'!$J$3&gt;='Base de datos '!B311,'Base de datos '!E311,0)</f>
        <v>#NUM!</v>
      </c>
    </row>
    <row r="312" spans="2:6" x14ac:dyDescent="0.3">
      <c r="B312" s="19">
        <f t="shared" si="15"/>
        <v>310</v>
      </c>
      <c r="C312" s="20" t="e">
        <f t="shared" si="14"/>
        <v>#NUM!</v>
      </c>
      <c r="D312" s="21" t="e">
        <f t="shared" si="13"/>
        <v>#NUM!</v>
      </c>
      <c r="E312" s="22" t="e">
        <f>(IF('Modelos de TES'!$J$3='Base de datos '!B312,'Modelos de TES'!$K$3+'Modelos de TES'!$G$3,'Modelos de TES'!$K$3))/((1+'Modelos de TES'!$I$3)^('Base de datos '!D312/365))</f>
        <v>#NUM!</v>
      </c>
      <c r="F312" s="24" t="e">
        <f>IF('Modelos de TES'!$J$3&gt;='Base de datos '!B312,'Base de datos '!E312,0)</f>
        <v>#NUM!</v>
      </c>
    </row>
    <row r="313" spans="2:6" x14ac:dyDescent="0.3">
      <c r="B313" s="19">
        <f t="shared" si="15"/>
        <v>311</v>
      </c>
      <c r="C313" s="20" t="e">
        <f t="shared" si="14"/>
        <v>#NUM!</v>
      </c>
      <c r="D313" s="21" t="e">
        <f t="shared" si="13"/>
        <v>#NUM!</v>
      </c>
      <c r="E313" s="22" t="e">
        <f>(IF('Modelos de TES'!$J$3='Base de datos '!B313,'Modelos de TES'!$K$3+'Modelos de TES'!$G$3,'Modelos de TES'!$K$3))/((1+'Modelos de TES'!$I$3)^('Base de datos '!D313/365))</f>
        <v>#NUM!</v>
      </c>
      <c r="F313" s="24" t="e">
        <f>IF('Modelos de TES'!$J$3&gt;='Base de datos '!B313,'Base de datos '!E313,0)</f>
        <v>#NUM!</v>
      </c>
    </row>
    <row r="314" spans="2:6" x14ac:dyDescent="0.3">
      <c r="B314" s="19">
        <f t="shared" si="15"/>
        <v>312</v>
      </c>
      <c r="C314" s="20" t="e">
        <f t="shared" si="14"/>
        <v>#NUM!</v>
      </c>
      <c r="D314" s="21" t="e">
        <f t="shared" si="13"/>
        <v>#NUM!</v>
      </c>
      <c r="E314" s="22" t="e">
        <f>(IF('Modelos de TES'!$J$3='Base de datos '!B314,'Modelos de TES'!$K$3+'Modelos de TES'!$G$3,'Modelos de TES'!$K$3))/((1+'Modelos de TES'!$I$3)^('Base de datos '!D314/365))</f>
        <v>#NUM!</v>
      </c>
      <c r="F314" s="24" t="e">
        <f>IF('Modelos de TES'!$J$3&gt;='Base de datos '!B314,'Base de datos '!E314,0)</f>
        <v>#NUM!</v>
      </c>
    </row>
    <row r="315" spans="2:6" x14ac:dyDescent="0.3">
      <c r="B315" s="19">
        <f t="shared" si="15"/>
        <v>313</v>
      </c>
      <c r="C315" s="20" t="e">
        <f t="shared" si="14"/>
        <v>#NUM!</v>
      </c>
      <c r="D315" s="21" t="e">
        <f t="shared" si="13"/>
        <v>#NUM!</v>
      </c>
      <c r="E315" s="22" t="e">
        <f>(IF('Modelos de TES'!$J$3='Base de datos '!B315,'Modelos de TES'!$K$3+'Modelos de TES'!$G$3,'Modelos de TES'!$K$3))/((1+'Modelos de TES'!$I$3)^('Base de datos '!D315/365))</f>
        <v>#NUM!</v>
      </c>
      <c r="F315" s="24" t="e">
        <f>IF('Modelos de TES'!$J$3&gt;='Base de datos '!B315,'Base de datos '!E315,0)</f>
        <v>#NUM!</v>
      </c>
    </row>
    <row r="316" spans="2:6" x14ac:dyDescent="0.3">
      <c r="B316" s="19">
        <f t="shared" si="15"/>
        <v>314</v>
      </c>
      <c r="C316" s="20" t="e">
        <f t="shared" si="14"/>
        <v>#NUM!</v>
      </c>
      <c r="D316" s="21" t="e">
        <f t="shared" si="13"/>
        <v>#NUM!</v>
      </c>
      <c r="E316" s="22" t="e">
        <f>(IF('Modelos de TES'!$J$3='Base de datos '!B316,'Modelos de TES'!$K$3+'Modelos de TES'!$G$3,'Modelos de TES'!$K$3))/((1+'Modelos de TES'!$I$3)^('Base de datos '!D316/365))</f>
        <v>#NUM!</v>
      </c>
      <c r="F316" s="24" t="e">
        <f>IF('Modelos de TES'!$J$3&gt;='Base de datos '!B316,'Base de datos '!E316,0)</f>
        <v>#NUM!</v>
      </c>
    </row>
    <row r="317" spans="2:6" x14ac:dyDescent="0.3">
      <c r="B317" s="19">
        <f t="shared" si="15"/>
        <v>315</v>
      </c>
      <c r="C317" s="20" t="e">
        <f t="shared" si="14"/>
        <v>#NUM!</v>
      </c>
      <c r="D317" s="21" t="e">
        <f t="shared" si="13"/>
        <v>#NUM!</v>
      </c>
      <c r="E317" s="22" t="e">
        <f>(IF('Modelos de TES'!$J$3='Base de datos '!B317,'Modelos de TES'!$K$3+'Modelos de TES'!$G$3,'Modelos de TES'!$K$3))/((1+'Modelos de TES'!$I$3)^('Base de datos '!D317/365))</f>
        <v>#NUM!</v>
      </c>
      <c r="F317" s="24" t="e">
        <f>IF('Modelos de TES'!$J$3&gt;='Base de datos '!B317,'Base de datos '!E317,0)</f>
        <v>#NUM!</v>
      </c>
    </row>
    <row r="318" spans="2:6" x14ac:dyDescent="0.3">
      <c r="B318" s="19">
        <f t="shared" si="15"/>
        <v>316</v>
      </c>
      <c r="C318" s="20" t="e">
        <f t="shared" si="14"/>
        <v>#NUM!</v>
      </c>
      <c r="D318" s="21" t="e">
        <f t="shared" si="13"/>
        <v>#NUM!</v>
      </c>
      <c r="E318" s="22" t="e">
        <f>(IF('Modelos de TES'!$J$3='Base de datos '!B318,'Modelos de TES'!$K$3+'Modelos de TES'!$G$3,'Modelos de TES'!$K$3))/((1+'Modelos de TES'!$I$3)^('Base de datos '!D318/365))</f>
        <v>#NUM!</v>
      </c>
      <c r="F318" s="24" t="e">
        <f>IF('Modelos de TES'!$J$3&gt;='Base de datos '!B318,'Base de datos '!E318,0)</f>
        <v>#NUM!</v>
      </c>
    </row>
    <row r="319" spans="2:6" x14ac:dyDescent="0.3">
      <c r="B319" s="19">
        <f t="shared" si="15"/>
        <v>317</v>
      </c>
      <c r="C319" s="20" t="e">
        <f t="shared" si="14"/>
        <v>#NUM!</v>
      </c>
      <c r="D319" s="21" t="e">
        <f t="shared" si="13"/>
        <v>#NUM!</v>
      </c>
      <c r="E319" s="22" t="e">
        <f>(IF('Modelos de TES'!$J$3='Base de datos '!B319,'Modelos de TES'!$K$3+'Modelos de TES'!$G$3,'Modelos de TES'!$K$3))/((1+'Modelos de TES'!$I$3)^('Base de datos '!D319/365))</f>
        <v>#NUM!</v>
      </c>
      <c r="F319" s="24" t="e">
        <f>IF('Modelos de TES'!$J$3&gt;='Base de datos '!B319,'Base de datos '!E319,0)</f>
        <v>#NUM!</v>
      </c>
    </row>
    <row r="320" spans="2:6" x14ac:dyDescent="0.3">
      <c r="B320" s="19">
        <f t="shared" si="15"/>
        <v>318</v>
      </c>
      <c r="C320" s="20" t="e">
        <f t="shared" si="14"/>
        <v>#NUM!</v>
      </c>
      <c r="D320" s="21" t="e">
        <f t="shared" si="13"/>
        <v>#NUM!</v>
      </c>
      <c r="E320" s="22" t="e">
        <f>(IF('Modelos de TES'!$J$3='Base de datos '!B320,'Modelos de TES'!$K$3+'Modelos de TES'!$G$3,'Modelos de TES'!$K$3))/((1+'Modelos de TES'!$I$3)^('Base de datos '!D320/365))</f>
        <v>#NUM!</v>
      </c>
      <c r="F320" s="24" t="e">
        <f>IF('Modelos de TES'!$J$3&gt;='Base de datos '!B320,'Base de datos '!E320,0)</f>
        <v>#NUM!</v>
      </c>
    </row>
    <row r="321" spans="2:6" x14ac:dyDescent="0.3">
      <c r="B321" s="19">
        <f t="shared" si="15"/>
        <v>319</v>
      </c>
      <c r="C321" s="20" t="e">
        <f t="shared" si="14"/>
        <v>#NUM!</v>
      </c>
      <c r="D321" s="21" t="e">
        <f t="shared" si="13"/>
        <v>#NUM!</v>
      </c>
      <c r="E321" s="22" t="e">
        <f>(IF('Modelos de TES'!$J$3='Base de datos '!B321,'Modelos de TES'!$K$3+'Modelos de TES'!$G$3,'Modelos de TES'!$K$3))/((1+'Modelos de TES'!$I$3)^('Base de datos '!D321/365))</f>
        <v>#NUM!</v>
      </c>
      <c r="F321" s="24" t="e">
        <f>IF('Modelos de TES'!$J$3&gt;='Base de datos '!B321,'Base de datos '!E321,0)</f>
        <v>#NUM!</v>
      </c>
    </row>
    <row r="322" spans="2:6" x14ac:dyDescent="0.3">
      <c r="B322" s="19">
        <f t="shared" si="15"/>
        <v>320</v>
      </c>
      <c r="C322" s="20" t="e">
        <f t="shared" si="14"/>
        <v>#NUM!</v>
      </c>
      <c r="D322" s="21" t="e">
        <f t="shared" si="13"/>
        <v>#NUM!</v>
      </c>
      <c r="E322" s="22" t="e">
        <f>(IF('Modelos de TES'!$J$3='Base de datos '!B322,'Modelos de TES'!$K$3+'Modelos de TES'!$G$3,'Modelos de TES'!$K$3))/((1+'Modelos de TES'!$I$3)^('Base de datos '!D322/365))</f>
        <v>#NUM!</v>
      </c>
      <c r="F322" s="24" t="e">
        <f>IF('Modelos de TES'!$J$3&gt;='Base de datos '!B322,'Base de datos '!E322,0)</f>
        <v>#NUM!</v>
      </c>
    </row>
    <row r="323" spans="2:6" x14ac:dyDescent="0.3">
      <c r="B323" s="19">
        <f t="shared" si="15"/>
        <v>321</v>
      </c>
      <c r="C323" s="20" t="e">
        <f t="shared" si="14"/>
        <v>#NUM!</v>
      </c>
      <c r="D323" s="21" t="e">
        <f t="shared" si="13"/>
        <v>#NUM!</v>
      </c>
      <c r="E323" s="22" t="e">
        <f>(IF('Modelos de TES'!$J$3='Base de datos '!B323,'Modelos de TES'!$K$3+'Modelos de TES'!$G$3,'Modelos de TES'!$K$3))/((1+'Modelos de TES'!$I$3)^('Base de datos '!D323/365))</f>
        <v>#NUM!</v>
      </c>
      <c r="F323" s="24" t="e">
        <f>IF('Modelos de TES'!$J$3&gt;='Base de datos '!B323,'Base de datos '!E323,0)</f>
        <v>#NUM!</v>
      </c>
    </row>
    <row r="324" spans="2:6" x14ac:dyDescent="0.3">
      <c r="B324" s="19">
        <f t="shared" si="15"/>
        <v>322</v>
      </c>
      <c r="C324" s="20" t="e">
        <f t="shared" si="14"/>
        <v>#NUM!</v>
      </c>
      <c r="D324" s="21" t="e">
        <f t="shared" si="13"/>
        <v>#NUM!</v>
      </c>
      <c r="E324" s="22" t="e">
        <f>(IF('Modelos de TES'!$J$3='Base de datos '!B324,'Modelos de TES'!$K$3+'Modelos de TES'!$G$3,'Modelos de TES'!$K$3))/((1+'Modelos de TES'!$I$3)^('Base de datos '!D324/365))</f>
        <v>#NUM!</v>
      </c>
      <c r="F324" s="24" t="e">
        <f>IF('Modelos de TES'!$J$3&gt;='Base de datos '!B324,'Base de datos '!E324,0)</f>
        <v>#NUM!</v>
      </c>
    </row>
    <row r="325" spans="2:6" x14ac:dyDescent="0.3">
      <c r="B325" s="19">
        <f t="shared" si="15"/>
        <v>323</v>
      </c>
      <c r="C325" s="20" t="e">
        <f t="shared" si="14"/>
        <v>#NUM!</v>
      </c>
      <c r="D325" s="21" t="e">
        <f t="shared" ref="D325:D383" si="16">D324+365</f>
        <v>#NUM!</v>
      </c>
      <c r="E325" s="22" t="e">
        <f>(IF('Modelos de TES'!$J$3='Base de datos '!B325,'Modelos de TES'!$K$3+'Modelos de TES'!$G$3,'Modelos de TES'!$K$3))/((1+'Modelos de TES'!$I$3)^('Base de datos '!D325/365))</f>
        <v>#NUM!</v>
      </c>
      <c r="F325" s="24" t="e">
        <f>IF('Modelos de TES'!$J$3&gt;='Base de datos '!B325,'Base de datos '!E325,0)</f>
        <v>#NUM!</v>
      </c>
    </row>
    <row r="326" spans="2:6" x14ac:dyDescent="0.3">
      <c r="B326" s="19">
        <f t="shared" si="15"/>
        <v>324</v>
      </c>
      <c r="C326" s="20" t="e">
        <f t="shared" si="14"/>
        <v>#NUM!</v>
      </c>
      <c r="D326" s="21" t="e">
        <f t="shared" si="16"/>
        <v>#NUM!</v>
      </c>
      <c r="E326" s="22" t="e">
        <f>(IF('Modelos de TES'!$J$3='Base de datos '!B326,'Modelos de TES'!$K$3+'Modelos de TES'!$G$3,'Modelos de TES'!$K$3))/((1+'Modelos de TES'!$I$3)^('Base de datos '!D326/365))</f>
        <v>#NUM!</v>
      </c>
      <c r="F326" s="24" t="e">
        <f>IF('Modelos de TES'!$J$3&gt;='Base de datos '!B326,'Base de datos '!E326,0)</f>
        <v>#NUM!</v>
      </c>
    </row>
    <row r="327" spans="2:6" x14ac:dyDescent="0.3">
      <c r="B327" s="19">
        <f t="shared" si="15"/>
        <v>325</v>
      </c>
      <c r="C327" s="20" t="e">
        <f t="shared" si="14"/>
        <v>#NUM!</v>
      </c>
      <c r="D327" s="21" t="e">
        <f t="shared" si="16"/>
        <v>#NUM!</v>
      </c>
      <c r="E327" s="22" t="e">
        <f>(IF('Modelos de TES'!$J$3='Base de datos '!B327,'Modelos de TES'!$K$3+'Modelos de TES'!$G$3,'Modelos de TES'!$K$3))/((1+'Modelos de TES'!$I$3)^('Base de datos '!D327/365))</f>
        <v>#NUM!</v>
      </c>
      <c r="F327" s="24" t="e">
        <f>IF('Modelos de TES'!$J$3&gt;='Base de datos '!B327,'Base de datos '!E327,0)</f>
        <v>#NUM!</v>
      </c>
    </row>
    <row r="328" spans="2:6" x14ac:dyDescent="0.3">
      <c r="B328" s="19">
        <f t="shared" si="15"/>
        <v>326</v>
      </c>
      <c r="C328" s="20" t="e">
        <f t="shared" si="14"/>
        <v>#NUM!</v>
      </c>
      <c r="D328" s="21" t="e">
        <f t="shared" si="16"/>
        <v>#NUM!</v>
      </c>
      <c r="E328" s="22" t="e">
        <f>(IF('Modelos de TES'!$J$3='Base de datos '!B328,'Modelos de TES'!$K$3+'Modelos de TES'!$G$3,'Modelos de TES'!$K$3))/((1+'Modelos de TES'!$I$3)^('Base de datos '!D328/365))</f>
        <v>#NUM!</v>
      </c>
      <c r="F328" s="24" t="e">
        <f>IF('Modelos de TES'!$J$3&gt;='Base de datos '!B328,'Base de datos '!E328,0)</f>
        <v>#NUM!</v>
      </c>
    </row>
    <row r="329" spans="2:6" x14ac:dyDescent="0.3">
      <c r="B329" s="19">
        <f t="shared" si="15"/>
        <v>327</v>
      </c>
      <c r="C329" s="20" t="e">
        <f t="shared" si="14"/>
        <v>#NUM!</v>
      </c>
      <c r="D329" s="21" t="e">
        <f t="shared" si="16"/>
        <v>#NUM!</v>
      </c>
      <c r="E329" s="22" t="e">
        <f>(IF('Modelos de TES'!$J$3='Base de datos '!B329,'Modelos de TES'!$K$3+'Modelos de TES'!$G$3,'Modelos de TES'!$K$3))/((1+'Modelos de TES'!$I$3)^('Base de datos '!D329/365))</f>
        <v>#NUM!</v>
      </c>
      <c r="F329" s="24" t="e">
        <f>IF('Modelos de TES'!$J$3&gt;='Base de datos '!B329,'Base de datos '!E329,0)</f>
        <v>#NUM!</v>
      </c>
    </row>
    <row r="330" spans="2:6" x14ac:dyDescent="0.3">
      <c r="B330" s="19">
        <f t="shared" si="15"/>
        <v>328</v>
      </c>
      <c r="C330" s="20" t="e">
        <f t="shared" si="14"/>
        <v>#NUM!</v>
      </c>
      <c r="D330" s="21" t="e">
        <f t="shared" si="16"/>
        <v>#NUM!</v>
      </c>
      <c r="E330" s="22" t="e">
        <f>(IF('Modelos de TES'!$J$3='Base de datos '!B330,'Modelos de TES'!$K$3+'Modelos de TES'!$G$3,'Modelos de TES'!$K$3))/((1+'Modelos de TES'!$I$3)^('Base de datos '!D330/365))</f>
        <v>#NUM!</v>
      </c>
      <c r="F330" s="24" t="e">
        <f>IF('Modelos de TES'!$J$3&gt;='Base de datos '!B330,'Base de datos '!E330,0)</f>
        <v>#NUM!</v>
      </c>
    </row>
    <row r="331" spans="2:6" x14ac:dyDescent="0.3">
      <c r="B331" s="19">
        <f t="shared" si="15"/>
        <v>329</v>
      </c>
      <c r="C331" s="20" t="e">
        <f t="shared" si="14"/>
        <v>#NUM!</v>
      </c>
      <c r="D331" s="21" t="e">
        <f t="shared" si="16"/>
        <v>#NUM!</v>
      </c>
      <c r="E331" s="22" t="e">
        <f>(IF('Modelos de TES'!$J$3='Base de datos '!B331,'Modelos de TES'!$K$3+'Modelos de TES'!$G$3,'Modelos de TES'!$K$3))/((1+'Modelos de TES'!$I$3)^('Base de datos '!D331/365))</f>
        <v>#NUM!</v>
      </c>
      <c r="F331" s="24" t="e">
        <f>IF('Modelos de TES'!$J$3&gt;='Base de datos '!B331,'Base de datos '!E331,0)</f>
        <v>#NUM!</v>
      </c>
    </row>
    <row r="332" spans="2:6" x14ac:dyDescent="0.3">
      <c r="B332" s="19">
        <f t="shared" si="15"/>
        <v>330</v>
      </c>
      <c r="C332" s="20" t="e">
        <f t="shared" si="14"/>
        <v>#NUM!</v>
      </c>
      <c r="D332" s="21" t="e">
        <f t="shared" si="16"/>
        <v>#NUM!</v>
      </c>
      <c r="E332" s="22" t="e">
        <f>(IF('Modelos de TES'!$J$3='Base de datos '!B332,'Modelos de TES'!$K$3+'Modelos de TES'!$G$3,'Modelos de TES'!$K$3))/((1+'Modelos de TES'!$I$3)^('Base de datos '!D332/365))</f>
        <v>#NUM!</v>
      </c>
      <c r="F332" s="24" t="e">
        <f>IF('Modelos de TES'!$J$3&gt;='Base de datos '!B332,'Base de datos '!E332,0)</f>
        <v>#NUM!</v>
      </c>
    </row>
    <row r="333" spans="2:6" x14ac:dyDescent="0.3">
      <c r="B333" s="19">
        <f t="shared" si="15"/>
        <v>331</v>
      </c>
      <c r="C333" s="20" t="e">
        <f t="shared" ref="C333:C383" si="17">COUPNCD(C332,$A$2,1,3)</f>
        <v>#NUM!</v>
      </c>
      <c r="D333" s="21" t="e">
        <f t="shared" si="16"/>
        <v>#NUM!</v>
      </c>
      <c r="E333" s="22" t="e">
        <f>(IF('Modelos de TES'!$J$3='Base de datos '!B333,'Modelos de TES'!$K$3+'Modelos de TES'!$G$3,'Modelos de TES'!$K$3))/((1+'Modelos de TES'!$I$3)^('Base de datos '!D333/365))</f>
        <v>#NUM!</v>
      </c>
      <c r="F333" s="24" t="e">
        <f>IF('Modelos de TES'!$J$3&gt;='Base de datos '!B333,'Base de datos '!E333,0)</f>
        <v>#NUM!</v>
      </c>
    </row>
    <row r="334" spans="2:6" x14ac:dyDescent="0.3">
      <c r="B334" s="19">
        <f t="shared" ref="B334:B383" si="18">B333+1</f>
        <v>332</v>
      </c>
      <c r="C334" s="20" t="e">
        <f t="shared" si="17"/>
        <v>#NUM!</v>
      </c>
      <c r="D334" s="21" t="e">
        <f t="shared" si="16"/>
        <v>#NUM!</v>
      </c>
      <c r="E334" s="22" t="e">
        <f>(IF('Modelos de TES'!$J$3='Base de datos '!B334,'Modelos de TES'!$K$3+'Modelos de TES'!$G$3,'Modelos de TES'!$K$3))/((1+'Modelos de TES'!$I$3)^('Base de datos '!D334/365))</f>
        <v>#NUM!</v>
      </c>
      <c r="F334" s="24" t="e">
        <f>IF('Modelos de TES'!$J$3&gt;='Base de datos '!B334,'Base de datos '!E334,0)</f>
        <v>#NUM!</v>
      </c>
    </row>
    <row r="335" spans="2:6" x14ac:dyDescent="0.3">
      <c r="B335" s="19">
        <f t="shared" si="18"/>
        <v>333</v>
      </c>
      <c r="C335" s="20" t="e">
        <f t="shared" si="17"/>
        <v>#NUM!</v>
      </c>
      <c r="D335" s="21" t="e">
        <f t="shared" si="16"/>
        <v>#NUM!</v>
      </c>
      <c r="E335" s="22" t="e">
        <f>(IF('Modelos de TES'!$J$3='Base de datos '!B335,'Modelos de TES'!$K$3+'Modelos de TES'!$G$3,'Modelos de TES'!$K$3))/((1+'Modelos de TES'!$I$3)^('Base de datos '!D335/365))</f>
        <v>#NUM!</v>
      </c>
      <c r="F335" s="24" t="e">
        <f>IF('Modelos de TES'!$J$3&gt;='Base de datos '!B335,'Base de datos '!E335,0)</f>
        <v>#NUM!</v>
      </c>
    </row>
    <row r="336" spans="2:6" x14ac:dyDescent="0.3">
      <c r="B336" s="19">
        <f t="shared" si="18"/>
        <v>334</v>
      </c>
      <c r="C336" s="20" t="e">
        <f t="shared" si="17"/>
        <v>#NUM!</v>
      </c>
      <c r="D336" s="21" t="e">
        <f t="shared" si="16"/>
        <v>#NUM!</v>
      </c>
      <c r="E336" s="22" t="e">
        <f>(IF('Modelos de TES'!$J$3='Base de datos '!B336,'Modelos de TES'!$K$3+'Modelos de TES'!$G$3,'Modelos de TES'!$K$3))/((1+'Modelos de TES'!$I$3)^('Base de datos '!D336/365))</f>
        <v>#NUM!</v>
      </c>
      <c r="F336" s="24" t="e">
        <f>IF('Modelos de TES'!$J$3&gt;='Base de datos '!B336,'Base de datos '!E336,0)</f>
        <v>#NUM!</v>
      </c>
    </row>
    <row r="337" spans="2:6" x14ac:dyDescent="0.3">
      <c r="B337" s="19">
        <f t="shared" si="18"/>
        <v>335</v>
      </c>
      <c r="C337" s="20" t="e">
        <f t="shared" si="17"/>
        <v>#NUM!</v>
      </c>
      <c r="D337" s="21" t="e">
        <f t="shared" si="16"/>
        <v>#NUM!</v>
      </c>
      <c r="E337" s="22" t="e">
        <f>(IF('Modelos de TES'!$J$3='Base de datos '!B337,'Modelos de TES'!$K$3+'Modelos de TES'!$G$3,'Modelos de TES'!$K$3))/((1+'Modelos de TES'!$I$3)^('Base de datos '!D337/365))</f>
        <v>#NUM!</v>
      </c>
      <c r="F337" s="24" t="e">
        <f>IF('Modelos de TES'!$J$3&gt;='Base de datos '!B337,'Base de datos '!E337,0)</f>
        <v>#NUM!</v>
      </c>
    </row>
    <row r="338" spans="2:6" x14ac:dyDescent="0.3">
      <c r="B338" s="19">
        <f t="shared" si="18"/>
        <v>336</v>
      </c>
      <c r="C338" s="20" t="e">
        <f t="shared" si="17"/>
        <v>#NUM!</v>
      </c>
      <c r="D338" s="21" t="e">
        <f t="shared" si="16"/>
        <v>#NUM!</v>
      </c>
      <c r="E338" s="22" t="e">
        <f>(IF('Modelos de TES'!$J$3='Base de datos '!B338,'Modelos de TES'!$K$3+'Modelos de TES'!$G$3,'Modelos de TES'!$K$3))/((1+'Modelos de TES'!$I$3)^('Base de datos '!D338/365))</f>
        <v>#NUM!</v>
      </c>
      <c r="F338" s="24" t="e">
        <f>IF('Modelos de TES'!$J$3&gt;='Base de datos '!B338,'Base de datos '!E338,0)</f>
        <v>#NUM!</v>
      </c>
    </row>
    <row r="339" spans="2:6" x14ac:dyDescent="0.3">
      <c r="B339" s="19">
        <f t="shared" si="18"/>
        <v>337</v>
      </c>
      <c r="C339" s="20" t="e">
        <f t="shared" si="17"/>
        <v>#NUM!</v>
      </c>
      <c r="D339" s="21" t="e">
        <f t="shared" si="16"/>
        <v>#NUM!</v>
      </c>
      <c r="E339" s="22" t="e">
        <f>(IF('Modelos de TES'!$J$3='Base de datos '!B339,'Modelos de TES'!$K$3+'Modelos de TES'!$G$3,'Modelos de TES'!$K$3))/((1+'Modelos de TES'!$I$3)^('Base de datos '!D339/365))</f>
        <v>#NUM!</v>
      </c>
      <c r="F339" s="24" t="e">
        <f>IF('Modelos de TES'!$J$3&gt;='Base de datos '!B339,'Base de datos '!E339,0)</f>
        <v>#NUM!</v>
      </c>
    </row>
    <row r="340" spans="2:6" x14ac:dyDescent="0.3">
      <c r="B340" s="19">
        <f t="shared" si="18"/>
        <v>338</v>
      </c>
      <c r="C340" s="20" t="e">
        <f t="shared" si="17"/>
        <v>#NUM!</v>
      </c>
      <c r="D340" s="21" t="e">
        <f t="shared" si="16"/>
        <v>#NUM!</v>
      </c>
      <c r="E340" s="22" t="e">
        <f>(IF('Modelos de TES'!$J$3='Base de datos '!B340,'Modelos de TES'!$K$3+'Modelos de TES'!$G$3,'Modelos de TES'!$K$3))/((1+'Modelos de TES'!$I$3)^('Base de datos '!D340/365))</f>
        <v>#NUM!</v>
      </c>
      <c r="F340" s="24" t="e">
        <f>IF('Modelos de TES'!$J$3&gt;='Base de datos '!B340,'Base de datos '!E340,0)</f>
        <v>#NUM!</v>
      </c>
    </row>
    <row r="341" spans="2:6" x14ac:dyDescent="0.3">
      <c r="B341" s="19">
        <f t="shared" si="18"/>
        <v>339</v>
      </c>
      <c r="C341" s="20" t="e">
        <f t="shared" si="17"/>
        <v>#NUM!</v>
      </c>
      <c r="D341" s="21" t="e">
        <f t="shared" si="16"/>
        <v>#NUM!</v>
      </c>
      <c r="E341" s="22" t="e">
        <f>(IF('Modelos de TES'!$J$3='Base de datos '!B341,'Modelos de TES'!$K$3+'Modelos de TES'!$G$3,'Modelos de TES'!$K$3))/((1+'Modelos de TES'!$I$3)^('Base de datos '!D341/365))</f>
        <v>#NUM!</v>
      </c>
      <c r="F341" s="24" t="e">
        <f>IF('Modelos de TES'!$J$3&gt;='Base de datos '!B341,'Base de datos '!E341,0)</f>
        <v>#NUM!</v>
      </c>
    </row>
    <row r="342" spans="2:6" x14ac:dyDescent="0.3">
      <c r="B342" s="19">
        <f t="shared" si="18"/>
        <v>340</v>
      </c>
      <c r="C342" s="20" t="e">
        <f t="shared" si="17"/>
        <v>#NUM!</v>
      </c>
      <c r="D342" s="21" t="e">
        <f t="shared" si="16"/>
        <v>#NUM!</v>
      </c>
      <c r="E342" s="22" t="e">
        <f>(IF('Modelos de TES'!$J$3='Base de datos '!B342,'Modelos de TES'!$K$3+'Modelos de TES'!$G$3,'Modelos de TES'!$K$3))/((1+'Modelos de TES'!$I$3)^('Base de datos '!D342/365))</f>
        <v>#NUM!</v>
      </c>
      <c r="F342" s="24" t="e">
        <f>IF('Modelos de TES'!$J$3&gt;='Base de datos '!B342,'Base de datos '!E342,0)</f>
        <v>#NUM!</v>
      </c>
    </row>
    <row r="343" spans="2:6" x14ac:dyDescent="0.3">
      <c r="B343" s="19">
        <f t="shared" si="18"/>
        <v>341</v>
      </c>
      <c r="C343" s="20" t="e">
        <f t="shared" si="17"/>
        <v>#NUM!</v>
      </c>
      <c r="D343" s="21" t="e">
        <f t="shared" si="16"/>
        <v>#NUM!</v>
      </c>
      <c r="E343" s="22" t="e">
        <f>(IF('Modelos de TES'!$J$3='Base de datos '!B343,'Modelos de TES'!$K$3+'Modelos de TES'!$G$3,'Modelos de TES'!$K$3))/((1+'Modelos de TES'!$I$3)^('Base de datos '!D343/365))</f>
        <v>#NUM!</v>
      </c>
      <c r="F343" s="24" t="e">
        <f>IF('Modelos de TES'!$J$3&gt;='Base de datos '!B343,'Base de datos '!E343,0)</f>
        <v>#NUM!</v>
      </c>
    </row>
    <row r="344" spans="2:6" x14ac:dyDescent="0.3">
      <c r="B344" s="19">
        <f t="shared" si="18"/>
        <v>342</v>
      </c>
      <c r="C344" s="20" t="e">
        <f t="shared" si="17"/>
        <v>#NUM!</v>
      </c>
      <c r="D344" s="21" t="e">
        <f t="shared" si="16"/>
        <v>#NUM!</v>
      </c>
      <c r="E344" s="22" t="e">
        <f>(IF('Modelos de TES'!$J$3='Base de datos '!B344,'Modelos de TES'!$K$3+'Modelos de TES'!$G$3,'Modelos de TES'!$K$3))/((1+'Modelos de TES'!$I$3)^('Base de datos '!D344/365))</f>
        <v>#NUM!</v>
      </c>
      <c r="F344" s="24" t="e">
        <f>IF('Modelos de TES'!$J$3&gt;='Base de datos '!B344,'Base de datos '!E344,0)</f>
        <v>#NUM!</v>
      </c>
    </row>
    <row r="345" spans="2:6" x14ac:dyDescent="0.3">
      <c r="B345" s="19">
        <f t="shared" si="18"/>
        <v>343</v>
      </c>
      <c r="C345" s="20" t="e">
        <f t="shared" si="17"/>
        <v>#NUM!</v>
      </c>
      <c r="D345" s="21" t="e">
        <f t="shared" si="16"/>
        <v>#NUM!</v>
      </c>
      <c r="E345" s="22" t="e">
        <f>(IF('Modelos de TES'!$J$3='Base de datos '!B345,'Modelos de TES'!$K$3+'Modelos de TES'!$G$3,'Modelos de TES'!$K$3))/((1+'Modelos de TES'!$I$3)^('Base de datos '!D345/365))</f>
        <v>#NUM!</v>
      </c>
      <c r="F345" s="24" t="e">
        <f>IF('Modelos de TES'!$J$3&gt;='Base de datos '!B345,'Base de datos '!E345,0)</f>
        <v>#NUM!</v>
      </c>
    </row>
    <row r="346" spans="2:6" x14ac:dyDescent="0.3">
      <c r="B346" s="19">
        <f t="shared" si="18"/>
        <v>344</v>
      </c>
      <c r="C346" s="20" t="e">
        <f t="shared" si="17"/>
        <v>#NUM!</v>
      </c>
      <c r="D346" s="21" t="e">
        <f t="shared" si="16"/>
        <v>#NUM!</v>
      </c>
      <c r="E346" s="22" t="e">
        <f>(IF('Modelos de TES'!$J$3='Base de datos '!B346,'Modelos de TES'!$K$3+'Modelos de TES'!$G$3,'Modelos de TES'!$K$3))/((1+'Modelos de TES'!$I$3)^('Base de datos '!D346/365))</f>
        <v>#NUM!</v>
      </c>
      <c r="F346" s="24" t="e">
        <f>IF('Modelos de TES'!$J$3&gt;='Base de datos '!B346,'Base de datos '!E346,0)</f>
        <v>#NUM!</v>
      </c>
    </row>
    <row r="347" spans="2:6" x14ac:dyDescent="0.3">
      <c r="B347" s="19">
        <f t="shared" si="18"/>
        <v>345</v>
      </c>
      <c r="C347" s="20" t="e">
        <f t="shared" si="17"/>
        <v>#NUM!</v>
      </c>
      <c r="D347" s="21" t="e">
        <f t="shared" si="16"/>
        <v>#NUM!</v>
      </c>
      <c r="E347" s="22" t="e">
        <f>(IF('Modelos de TES'!$J$3='Base de datos '!B347,'Modelos de TES'!$K$3+'Modelos de TES'!$G$3,'Modelos de TES'!$K$3))/((1+'Modelos de TES'!$I$3)^('Base de datos '!D347/365))</f>
        <v>#NUM!</v>
      </c>
      <c r="F347" s="24" t="e">
        <f>IF('Modelos de TES'!$J$3&gt;='Base de datos '!B347,'Base de datos '!E347,0)</f>
        <v>#NUM!</v>
      </c>
    </row>
    <row r="348" spans="2:6" x14ac:dyDescent="0.3">
      <c r="B348" s="19">
        <f t="shared" si="18"/>
        <v>346</v>
      </c>
      <c r="C348" s="20" t="e">
        <f t="shared" si="17"/>
        <v>#NUM!</v>
      </c>
      <c r="D348" s="21" t="e">
        <f t="shared" si="16"/>
        <v>#NUM!</v>
      </c>
      <c r="E348" s="22" t="e">
        <f>(IF('Modelos de TES'!$J$3='Base de datos '!B348,'Modelos de TES'!$K$3+'Modelos de TES'!$G$3,'Modelos de TES'!$K$3))/((1+'Modelos de TES'!$I$3)^('Base de datos '!D348/365))</f>
        <v>#NUM!</v>
      </c>
      <c r="F348" s="24" t="e">
        <f>IF('Modelos de TES'!$J$3&gt;='Base de datos '!B348,'Base de datos '!E348,0)</f>
        <v>#NUM!</v>
      </c>
    </row>
    <row r="349" spans="2:6" x14ac:dyDescent="0.3">
      <c r="B349" s="19">
        <f t="shared" si="18"/>
        <v>347</v>
      </c>
      <c r="C349" s="20" t="e">
        <f t="shared" si="17"/>
        <v>#NUM!</v>
      </c>
      <c r="D349" s="21" t="e">
        <f t="shared" si="16"/>
        <v>#NUM!</v>
      </c>
      <c r="E349" s="22" t="e">
        <f>(IF('Modelos de TES'!$J$3='Base de datos '!B349,'Modelos de TES'!$K$3+'Modelos de TES'!$G$3,'Modelos de TES'!$K$3))/((1+'Modelos de TES'!$I$3)^('Base de datos '!D349/365))</f>
        <v>#NUM!</v>
      </c>
      <c r="F349" s="24" t="e">
        <f>IF('Modelos de TES'!$J$3&gt;='Base de datos '!B349,'Base de datos '!E349,0)</f>
        <v>#NUM!</v>
      </c>
    </row>
    <row r="350" spans="2:6" x14ac:dyDescent="0.3">
      <c r="B350" s="19">
        <f t="shared" si="18"/>
        <v>348</v>
      </c>
      <c r="C350" s="20" t="e">
        <f t="shared" si="17"/>
        <v>#NUM!</v>
      </c>
      <c r="D350" s="21" t="e">
        <f t="shared" si="16"/>
        <v>#NUM!</v>
      </c>
      <c r="E350" s="22" t="e">
        <f>(IF('Modelos de TES'!$J$3='Base de datos '!B350,'Modelos de TES'!$K$3+'Modelos de TES'!$G$3,'Modelos de TES'!$K$3))/((1+'Modelos de TES'!$I$3)^('Base de datos '!D350/365))</f>
        <v>#NUM!</v>
      </c>
      <c r="F350" s="24" t="e">
        <f>IF('Modelos de TES'!$J$3&gt;='Base de datos '!B350,'Base de datos '!E350,0)</f>
        <v>#NUM!</v>
      </c>
    </row>
    <row r="351" spans="2:6" x14ac:dyDescent="0.3">
      <c r="B351" s="19">
        <f t="shared" si="18"/>
        <v>349</v>
      </c>
      <c r="C351" s="20" t="e">
        <f t="shared" si="17"/>
        <v>#NUM!</v>
      </c>
      <c r="D351" s="21" t="e">
        <f t="shared" si="16"/>
        <v>#NUM!</v>
      </c>
      <c r="E351" s="22" t="e">
        <f>(IF('Modelos de TES'!$J$3='Base de datos '!B351,'Modelos de TES'!$K$3+'Modelos de TES'!$G$3,'Modelos de TES'!$K$3))/((1+'Modelos de TES'!$I$3)^('Base de datos '!D351/365))</f>
        <v>#NUM!</v>
      </c>
      <c r="F351" s="24" t="e">
        <f>IF('Modelos de TES'!$J$3&gt;='Base de datos '!B351,'Base de datos '!E351,0)</f>
        <v>#NUM!</v>
      </c>
    </row>
    <row r="352" spans="2:6" x14ac:dyDescent="0.3">
      <c r="B352" s="19">
        <f t="shared" si="18"/>
        <v>350</v>
      </c>
      <c r="C352" s="20" t="e">
        <f t="shared" si="17"/>
        <v>#NUM!</v>
      </c>
      <c r="D352" s="21" t="e">
        <f t="shared" si="16"/>
        <v>#NUM!</v>
      </c>
      <c r="E352" s="22" t="e">
        <f>(IF('Modelos de TES'!$J$3='Base de datos '!B352,'Modelos de TES'!$K$3+'Modelos de TES'!$G$3,'Modelos de TES'!$K$3))/((1+'Modelos de TES'!$I$3)^('Base de datos '!D352/365))</f>
        <v>#NUM!</v>
      </c>
      <c r="F352" s="24" t="e">
        <f>IF('Modelos de TES'!$J$3&gt;='Base de datos '!B352,'Base de datos '!E352,0)</f>
        <v>#NUM!</v>
      </c>
    </row>
    <row r="353" spans="2:6" x14ac:dyDescent="0.3">
      <c r="B353" s="19">
        <f t="shared" si="18"/>
        <v>351</v>
      </c>
      <c r="C353" s="20" t="e">
        <f t="shared" si="17"/>
        <v>#NUM!</v>
      </c>
      <c r="D353" s="21" t="e">
        <f t="shared" si="16"/>
        <v>#NUM!</v>
      </c>
      <c r="E353" s="22" t="e">
        <f>(IF('Modelos de TES'!$J$3='Base de datos '!B353,'Modelos de TES'!$K$3+'Modelos de TES'!$G$3,'Modelos de TES'!$K$3))/((1+'Modelos de TES'!$I$3)^('Base de datos '!D353/365))</f>
        <v>#NUM!</v>
      </c>
      <c r="F353" s="24" t="e">
        <f>IF('Modelos de TES'!$J$3&gt;='Base de datos '!B353,'Base de datos '!E353,0)</f>
        <v>#NUM!</v>
      </c>
    </row>
    <row r="354" spans="2:6" x14ac:dyDescent="0.3">
      <c r="B354" s="19">
        <f t="shared" si="18"/>
        <v>352</v>
      </c>
      <c r="C354" s="20" t="e">
        <f t="shared" si="17"/>
        <v>#NUM!</v>
      </c>
      <c r="D354" s="21" t="e">
        <f t="shared" si="16"/>
        <v>#NUM!</v>
      </c>
      <c r="E354" s="22" t="e">
        <f>(IF('Modelos de TES'!$J$3='Base de datos '!B354,'Modelos de TES'!$K$3+'Modelos de TES'!$G$3,'Modelos de TES'!$K$3))/((1+'Modelos de TES'!$I$3)^('Base de datos '!D354/365))</f>
        <v>#NUM!</v>
      </c>
      <c r="F354" s="24" t="e">
        <f>IF('Modelos de TES'!$J$3&gt;='Base de datos '!B354,'Base de datos '!E354,0)</f>
        <v>#NUM!</v>
      </c>
    </row>
    <row r="355" spans="2:6" x14ac:dyDescent="0.3">
      <c r="B355" s="19">
        <f t="shared" si="18"/>
        <v>353</v>
      </c>
      <c r="C355" s="20" t="e">
        <f t="shared" si="17"/>
        <v>#NUM!</v>
      </c>
      <c r="D355" s="21" t="e">
        <f t="shared" si="16"/>
        <v>#NUM!</v>
      </c>
      <c r="E355" s="22" t="e">
        <f>(IF('Modelos de TES'!$J$3='Base de datos '!B355,'Modelos de TES'!$K$3+'Modelos de TES'!$G$3,'Modelos de TES'!$K$3))/((1+'Modelos de TES'!$I$3)^('Base de datos '!D355/365))</f>
        <v>#NUM!</v>
      </c>
      <c r="F355" s="24" t="e">
        <f>IF('Modelos de TES'!$J$3&gt;='Base de datos '!B355,'Base de datos '!E355,0)</f>
        <v>#NUM!</v>
      </c>
    </row>
    <row r="356" spans="2:6" x14ac:dyDescent="0.3">
      <c r="B356" s="19">
        <f t="shared" si="18"/>
        <v>354</v>
      </c>
      <c r="C356" s="20" t="e">
        <f t="shared" si="17"/>
        <v>#NUM!</v>
      </c>
      <c r="D356" s="21" t="e">
        <f t="shared" si="16"/>
        <v>#NUM!</v>
      </c>
      <c r="E356" s="22" t="e">
        <f>(IF('Modelos de TES'!$J$3='Base de datos '!B356,'Modelos de TES'!$K$3+'Modelos de TES'!$G$3,'Modelos de TES'!$K$3))/((1+'Modelos de TES'!$I$3)^('Base de datos '!D356/365))</f>
        <v>#NUM!</v>
      </c>
      <c r="F356" s="24" t="e">
        <f>IF('Modelos de TES'!$J$3&gt;='Base de datos '!B356,'Base de datos '!E356,0)</f>
        <v>#NUM!</v>
      </c>
    </row>
    <row r="357" spans="2:6" x14ac:dyDescent="0.3">
      <c r="B357" s="19">
        <f t="shared" si="18"/>
        <v>355</v>
      </c>
      <c r="C357" s="20" t="e">
        <f t="shared" si="17"/>
        <v>#NUM!</v>
      </c>
      <c r="D357" s="21" t="e">
        <f t="shared" si="16"/>
        <v>#NUM!</v>
      </c>
      <c r="E357" s="22" t="e">
        <f>(IF('Modelos de TES'!$J$3='Base de datos '!B357,'Modelos de TES'!$K$3+'Modelos de TES'!$G$3,'Modelos de TES'!$K$3))/((1+'Modelos de TES'!$I$3)^('Base de datos '!D357/365))</f>
        <v>#NUM!</v>
      </c>
      <c r="F357" s="24" t="e">
        <f>IF('Modelos de TES'!$J$3&gt;='Base de datos '!B357,'Base de datos '!E357,0)</f>
        <v>#NUM!</v>
      </c>
    </row>
    <row r="358" spans="2:6" x14ac:dyDescent="0.3">
      <c r="B358" s="19">
        <f t="shared" si="18"/>
        <v>356</v>
      </c>
      <c r="C358" s="20" t="e">
        <f t="shared" si="17"/>
        <v>#NUM!</v>
      </c>
      <c r="D358" s="21" t="e">
        <f t="shared" si="16"/>
        <v>#NUM!</v>
      </c>
      <c r="E358" s="22" t="e">
        <f>(IF('Modelos de TES'!$J$3='Base de datos '!B358,'Modelos de TES'!$K$3+'Modelos de TES'!$G$3,'Modelos de TES'!$K$3))/((1+'Modelos de TES'!$I$3)^('Base de datos '!D358/365))</f>
        <v>#NUM!</v>
      </c>
      <c r="F358" s="24" t="e">
        <f>IF('Modelos de TES'!$J$3&gt;='Base de datos '!B358,'Base de datos '!E358,0)</f>
        <v>#NUM!</v>
      </c>
    </row>
    <row r="359" spans="2:6" x14ac:dyDescent="0.3">
      <c r="B359" s="19">
        <f t="shared" si="18"/>
        <v>357</v>
      </c>
      <c r="C359" s="20" t="e">
        <f t="shared" si="17"/>
        <v>#NUM!</v>
      </c>
      <c r="D359" s="21" t="e">
        <f t="shared" si="16"/>
        <v>#NUM!</v>
      </c>
      <c r="E359" s="22" t="e">
        <f>(IF('Modelos de TES'!$J$3='Base de datos '!B359,'Modelos de TES'!$K$3+'Modelos de TES'!$G$3,'Modelos de TES'!$K$3))/((1+'Modelos de TES'!$I$3)^('Base de datos '!D359/365))</f>
        <v>#NUM!</v>
      </c>
      <c r="F359" s="24" t="e">
        <f>IF('Modelos de TES'!$J$3&gt;='Base de datos '!B359,'Base de datos '!E359,0)</f>
        <v>#NUM!</v>
      </c>
    </row>
    <row r="360" spans="2:6" x14ac:dyDescent="0.3">
      <c r="B360" s="19">
        <f t="shared" si="18"/>
        <v>358</v>
      </c>
      <c r="C360" s="20" t="e">
        <f t="shared" si="17"/>
        <v>#NUM!</v>
      </c>
      <c r="D360" s="21" t="e">
        <f t="shared" si="16"/>
        <v>#NUM!</v>
      </c>
      <c r="E360" s="22" t="e">
        <f>(IF('Modelos de TES'!$J$3='Base de datos '!B360,'Modelos de TES'!$K$3+'Modelos de TES'!$G$3,'Modelos de TES'!$K$3))/((1+'Modelos de TES'!$I$3)^('Base de datos '!D360/365))</f>
        <v>#NUM!</v>
      </c>
      <c r="F360" s="24" t="e">
        <f>IF('Modelos de TES'!$J$3&gt;='Base de datos '!B360,'Base de datos '!E360,0)</f>
        <v>#NUM!</v>
      </c>
    </row>
    <row r="361" spans="2:6" x14ac:dyDescent="0.3">
      <c r="B361" s="19">
        <f t="shared" si="18"/>
        <v>359</v>
      </c>
      <c r="C361" s="20" t="e">
        <f t="shared" si="17"/>
        <v>#NUM!</v>
      </c>
      <c r="D361" s="21" t="e">
        <f t="shared" si="16"/>
        <v>#NUM!</v>
      </c>
      <c r="E361" s="22" t="e">
        <f>(IF('Modelos de TES'!$J$3='Base de datos '!B361,'Modelos de TES'!$K$3+'Modelos de TES'!$G$3,'Modelos de TES'!$K$3))/((1+'Modelos de TES'!$I$3)^('Base de datos '!D361/365))</f>
        <v>#NUM!</v>
      </c>
      <c r="F361" s="24" t="e">
        <f>IF('Modelos de TES'!$J$3&gt;='Base de datos '!B361,'Base de datos '!E361,0)</f>
        <v>#NUM!</v>
      </c>
    </row>
    <row r="362" spans="2:6" x14ac:dyDescent="0.3">
      <c r="B362" s="19">
        <f t="shared" si="18"/>
        <v>360</v>
      </c>
      <c r="C362" s="20" t="e">
        <f t="shared" si="17"/>
        <v>#NUM!</v>
      </c>
      <c r="D362" s="21" t="e">
        <f t="shared" si="16"/>
        <v>#NUM!</v>
      </c>
      <c r="E362" s="22" t="e">
        <f>(IF('Modelos de TES'!$J$3='Base de datos '!B362,'Modelos de TES'!$K$3+'Modelos de TES'!$G$3,'Modelos de TES'!$K$3))/((1+'Modelos de TES'!$I$3)^('Base de datos '!D362/365))</f>
        <v>#NUM!</v>
      </c>
      <c r="F362" s="24" t="e">
        <f>IF('Modelos de TES'!$J$3&gt;='Base de datos '!B362,'Base de datos '!E362,0)</f>
        <v>#NUM!</v>
      </c>
    </row>
    <row r="363" spans="2:6" x14ac:dyDescent="0.3">
      <c r="B363" s="19">
        <f t="shared" si="18"/>
        <v>361</v>
      </c>
      <c r="C363" s="20" t="e">
        <f t="shared" si="17"/>
        <v>#NUM!</v>
      </c>
      <c r="D363" s="21" t="e">
        <f t="shared" si="16"/>
        <v>#NUM!</v>
      </c>
      <c r="E363" s="22" t="e">
        <f>(IF('Modelos de TES'!$J$3='Base de datos '!B363,'Modelos de TES'!$K$3+'Modelos de TES'!$G$3,'Modelos de TES'!$K$3))/((1+'Modelos de TES'!$I$3)^('Base de datos '!D363/365))</f>
        <v>#NUM!</v>
      </c>
      <c r="F363" s="24" t="e">
        <f>IF('Modelos de TES'!$J$3&gt;='Base de datos '!B363,'Base de datos '!E363,0)</f>
        <v>#NUM!</v>
      </c>
    </row>
    <row r="364" spans="2:6" x14ac:dyDescent="0.3">
      <c r="B364" s="19">
        <f t="shared" si="18"/>
        <v>362</v>
      </c>
      <c r="C364" s="20" t="e">
        <f t="shared" si="17"/>
        <v>#NUM!</v>
      </c>
      <c r="D364" s="21" t="e">
        <f t="shared" si="16"/>
        <v>#NUM!</v>
      </c>
      <c r="E364" s="22" t="e">
        <f>(IF('Modelos de TES'!$J$3='Base de datos '!B364,'Modelos de TES'!$K$3+'Modelos de TES'!$G$3,'Modelos de TES'!$K$3))/((1+'Modelos de TES'!$I$3)^('Base de datos '!D364/365))</f>
        <v>#NUM!</v>
      </c>
      <c r="F364" s="24" t="e">
        <f>IF('Modelos de TES'!$J$3&gt;='Base de datos '!B364,'Base de datos '!E364,0)</f>
        <v>#NUM!</v>
      </c>
    </row>
    <row r="365" spans="2:6" x14ac:dyDescent="0.3">
      <c r="B365" s="19">
        <f t="shared" si="18"/>
        <v>363</v>
      </c>
      <c r="C365" s="20" t="e">
        <f t="shared" si="17"/>
        <v>#NUM!</v>
      </c>
      <c r="D365" s="21" t="e">
        <f t="shared" si="16"/>
        <v>#NUM!</v>
      </c>
      <c r="E365" s="22" t="e">
        <f>(IF('Modelos de TES'!$J$3='Base de datos '!B365,'Modelos de TES'!$K$3+'Modelos de TES'!$G$3,'Modelos de TES'!$K$3))/((1+'Modelos de TES'!$I$3)^('Base de datos '!D365/365))</f>
        <v>#NUM!</v>
      </c>
      <c r="F365" s="24" t="e">
        <f>IF('Modelos de TES'!$J$3&gt;='Base de datos '!B365,'Base de datos '!E365,0)</f>
        <v>#NUM!</v>
      </c>
    </row>
    <row r="366" spans="2:6" x14ac:dyDescent="0.3">
      <c r="B366" s="19">
        <f t="shared" si="18"/>
        <v>364</v>
      </c>
      <c r="C366" s="20" t="e">
        <f t="shared" si="17"/>
        <v>#NUM!</v>
      </c>
      <c r="D366" s="21" t="e">
        <f t="shared" si="16"/>
        <v>#NUM!</v>
      </c>
      <c r="E366" s="22" t="e">
        <f>(IF('Modelos de TES'!$J$3='Base de datos '!B366,'Modelos de TES'!$K$3+'Modelos de TES'!$G$3,'Modelos de TES'!$K$3))/((1+'Modelos de TES'!$I$3)^('Base de datos '!D366/365))</f>
        <v>#NUM!</v>
      </c>
      <c r="F366" s="24" t="e">
        <f>IF('Modelos de TES'!$J$3&gt;='Base de datos '!B366,'Base de datos '!E366,0)</f>
        <v>#NUM!</v>
      </c>
    </row>
    <row r="367" spans="2:6" x14ac:dyDescent="0.3">
      <c r="B367" s="19">
        <f t="shared" si="18"/>
        <v>365</v>
      </c>
      <c r="C367" s="20" t="e">
        <f t="shared" si="17"/>
        <v>#NUM!</v>
      </c>
      <c r="D367" s="21" t="e">
        <f t="shared" si="16"/>
        <v>#NUM!</v>
      </c>
      <c r="E367" s="22" t="e">
        <f>(IF('Modelos de TES'!$J$3='Base de datos '!B367,'Modelos de TES'!$K$3+'Modelos de TES'!$G$3,'Modelos de TES'!$K$3))/((1+'Modelos de TES'!$I$3)^('Base de datos '!D367/365))</f>
        <v>#NUM!</v>
      </c>
      <c r="F367" s="24" t="e">
        <f>IF('Modelos de TES'!$J$3&gt;='Base de datos '!B367,'Base de datos '!E367,0)</f>
        <v>#NUM!</v>
      </c>
    </row>
    <row r="368" spans="2:6" x14ac:dyDescent="0.3">
      <c r="B368" s="19">
        <f t="shared" si="18"/>
        <v>366</v>
      </c>
      <c r="C368" s="20" t="e">
        <f t="shared" si="17"/>
        <v>#NUM!</v>
      </c>
      <c r="D368" s="21" t="e">
        <f t="shared" si="16"/>
        <v>#NUM!</v>
      </c>
      <c r="E368" s="22" t="e">
        <f>(IF('Modelos de TES'!$J$3='Base de datos '!B368,'Modelos de TES'!$K$3+'Modelos de TES'!$G$3,'Modelos de TES'!$K$3))/((1+'Modelos de TES'!$I$3)^('Base de datos '!D368/365))</f>
        <v>#NUM!</v>
      </c>
      <c r="F368" s="24" t="e">
        <f>IF('Modelos de TES'!$J$3&gt;='Base de datos '!B368,'Base de datos '!E368,0)</f>
        <v>#NUM!</v>
      </c>
    </row>
    <row r="369" spans="2:6" x14ac:dyDescent="0.3">
      <c r="B369" s="19">
        <f t="shared" si="18"/>
        <v>367</v>
      </c>
      <c r="C369" s="20" t="e">
        <f t="shared" si="17"/>
        <v>#NUM!</v>
      </c>
      <c r="D369" s="21" t="e">
        <f t="shared" si="16"/>
        <v>#NUM!</v>
      </c>
      <c r="E369" s="22" t="e">
        <f>(IF('Modelos de TES'!$J$3='Base de datos '!B369,'Modelos de TES'!$K$3+'Modelos de TES'!$G$3,'Modelos de TES'!$K$3))/((1+'Modelos de TES'!$I$3)^('Base de datos '!D369/365))</f>
        <v>#NUM!</v>
      </c>
      <c r="F369" s="24" t="e">
        <f>IF('Modelos de TES'!$J$3&gt;='Base de datos '!B369,'Base de datos '!E369,0)</f>
        <v>#NUM!</v>
      </c>
    </row>
    <row r="370" spans="2:6" x14ac:dyDescent="0.3">
      <c r="B370" s="19">
        <f t="shared" si="18"/>
        <v>368</v>
      </c>
      <c r="C370" s="20" t="e">
        <f t="shared" si="17"/>
        <v>#NUM!</v>
      </c>
      <c r="D370" s="21" t="e">
        <f t="shared" si="16"/>
        <v>#NUM!</v>
      </c>
      <c r="E370" s="22" t="e">
        <f>(IF('Modelos de TES'!$J$3='Base de datos '!B370,'Modelos de TES'!$K$3+'Modelos de TES'!$G$3,'Modelos de TES'!$K$3))/((1+'Modelos de TES'!$I$3)^('Base de datos '!D370/365))</f>
        <v>#NUM!</v>
      </c>
      <c r="F370" s="24" t="e">
        <f>IF('Modelos de TES'!$J$3&gt;='Base de datos '!B370,'Base de datos '!E370,0)</f>
        <v>#NUM!</v>
      </c>
    </row>
    <row r="371" spans="2:6" x14ac:dyDescent="0.3">
      <c r="B371" s="19">
        <f t="shared" si="18"/>
        <v>369</v>
      </c>
      <c r="C371" s="20" t="e">
        <f t="shared" si="17"/>
        <v>#NUM!</v>
      </c>
      <c r="D371" s="21" t="e">
        <f t="shared" si="16"/>
        <v>#NUM!</v>
      </c>
      <c r="E371" s="22" t="e">
        <f>(IF('Modelos de TES'!$J$3='Base de datos '!B371,'Modelos de TES'!$K$3+'Modelos de TES'!$G$3,'Modelos de TES'!$K$3))/((1+'Modelos de TES'!$I$3)^('Base de datos '!D371/365))</f>
        <v>#NUM!</v>
      </c>
      <c r="F371" s="24" t="e">
        <f>IF('Modelos de TES'!$J$3&gt;='Base de datos '!B371,'Base de datos '!E371,0)</f>
        <v>#NUM!</v>
      </c>
    </row>
    <row r="372" spans="2:6" x14ac:dyDescent="0.3">
      <c r="B372" s="19">
        <f t="shared" si="18"/>
        <v>370</v>
      </c>
      <c r="C372" s="20" t="e">
        <f t="shared" si="17"/>
        <v>#NUM!</v>
      </c>
      <c r="D372" s="21" t="e">
        <f t="shared" si="16"/>
        <v>#NUM!</v>
      </c>
      <c r="E372" s="22" t="e">
        <f>(IF('Modelos de TES'!$J$3='Base de datos '!B372,'Modelos de TES'!$K$3+'Modelos de TES'!$G$3,'Modelos de TES'!$K$3))/((1+'Modelos de TES'!$I$3)^('Base de datos '!D372/365))</f>
        <v>#NUM!</v>
      </c>
      <c r="F372" s="24" t="e">
        <f>IF('Modelos de TES'!$J$3&gt;='Base de datos '!B372,'Base de datos '!E372,0)</f>
        <v>#NUM!</v>
      </c>
    </row>
    <row r="373" spans="2:6" x14ac:dyDescent="0.3">
      <c r="B373" s="19">
        <f t="shared" si="18"/>
        <v>371</v>
      </c>
      <c r="C373" s="20" t="e">
        <f t="shared" si="17"/>
        <v>#NUM!</v>
      </c>
      <c r="D373" s="21" t="e">
        <f t="shared" si="16"/>
        <v>#NUM!</v>
      </c>
      <c r="E373" s="22" t="e">
        <f>(IF('Modelos de TES'!$J$3='Base de datos '!B373,'Modelos de TES'!$K$3+'Modelos de TES'!$G$3,'Modelos de TES'!$K$3))/((1+'Modelos de TES'!$I$3)^('Base de datos '!D373/365))</f>
        <v>#NUM!</v>
      </c>
      <c r="F373" s="24" t="e">
        <f>IF('Modelos de TES'!$J$3&gt;='Base de datos '!B373,'Base de datos '!E373,0)</f>
        <v>#NUM!</v>
      </c>
    </row>
    <row r="374" spans="2:6" x14ac:dyDescent="0.3">
      <c r="B374" s="19">
        <f t="shared" si="18"/>
        <v>372</v>
      </c>
      <c r="C374" s="20" t="e">
        <f t="shared" si="17"/>
        <v>#NUM!</v>
      </c>
      <c r="D374" s="21" t="e">
        <f t="shared" si="16"/>
        <v>#NUM!</v>
      </c>
      <c r="E374" s="22" t="e">
        <f>(IF('Modelos de TES'!$J$3='Base de datos '!B374,'Modelos de TES'!$K$3+'Modelos de TES'!$G$3,'Modelos de TES'!$K$3))/((1+'Modelos de TES'!$I$3)^('Base de datos '!D374/365))</f>
        <v>#NUM!</v>
      </c>
      <c r="F374" s="24" t="e">
        <f>IF('Modelos de TES'!$J$3&gt;='Base de datos '!B374,'Base de datos '!E374,0)</f>
        <v>#NUM!</v>
      </c>
    </row>
    <row r="375" spans="2:6" x14ac:dyDescent="0.3">
      <c r="B375" s="19">
        <f t="shared" si="18"/>
        <v>373</v>
      </c>
      <c r="C375" s="20" t="e">
        <f t="shared" si="17"/>
        <v>#NUM!</v>
      </c>
      <c r="D375" s="21" t="e">
        <f t="shared" si="16"/>
        <v>#NUM!</v>
      </c>
      <c r="E375" s="22" t="e">
        <f>(IF('Modelos de TES'!$J$3='Base de datos '!B375,'Modelos de TES'!$K$3+'Modelos de TES'!$G$3,'Modelos de TES'!$K$3))/((1+'Modelos de TES'!$I$3)^('Base de datos '!D375/365))</f>
        <v>#NUM!</v>
      </c>
      <c r="F375" s="24" t="e">
        <f>IF('Modelos de TES'!$J$3&gt;='Base de datos '!B375,'Base de datos '!E375,0)</f>
        <v>#NUM!</v>
      </c>
    </row>
    <row r="376" spans="2:6" x14ac:dyDescent="0.3">
      <c r="B376" s="19">
        <f t="shared" si="18"/>
        <v>374</v>
      </c>
      <c r="C376" s="20" t="e">
        <f t="shared" si="17"/>
        <v>#NUM!</v>
      </c>
      <c r="D376" s="21" t="e">
        <f t="shared" si="16"/>
        <v>#NUM!</v>
      </c>
      <c r="E376" s="22" t="e">
        <f>(IF('Modelos de TES'!$J$3='Base de datos '!B376,'Modelos de TES'!$K$3+'Modelos de TES'!$G$3,'Modelos de TES'!$K$3))/((1+'Modelos de TES'!$I$3)^('Base de datos '!D376/365))</f>
        <v>#NUM!</v>
      </c>
      <c r="F376" s="24" t="e">
        <f>IF('Modelos de TES'!$J$3&gt;='Base de datos '!B376,'Base de datos '!E376,0)</f>
        <v>#NUM!</v>
      </c>
    </row>
    <row r="377" spans="2:6" x14ac:dyDescent="0.3">
      <c r="B377" s="19">
        <f t="shared" si="18"/>
        <v>375</v>
      </c>
      <c r="C377" s="20" t="e">
        <f t="shared" si="17"/>
        <v>#NUM!</v>
      </c>
      <c r="D377" s="21" t="e">
        <f t="shared" si="16"/>
        <v>#NUM!</v>
      </c>
      <c r="E377" s="22" t="e">
        <f>(IF('Modelos de TES'!$J$3='Base de datos '!B377,'Modelos de TES'!$K$3+'Modelos de TES'!$G$3,'Modelos de TES'!$K$3))/((1+'Modelos de TES'!$I$3)^('Base de datos '!D377/365))</f>
        <v>#NUM!</v>
      </c>
      <c r="F377" s="24" t="e">
        <f>IF('Modelos de TES'!$J$3&gt;='Base de datos '!B377,'Base de datos '!E377,0)</f>
        <v>#NUM!</v>
      </c>
    </row>
    <row r="378" spans="2:6" x14ac:dyDescent="0.3">
      <c r="B378" s="19">
        <f t="shared" si="18"/>
        <v>376</v>
      </c>
      <c r="C378" s="20" t="e">
        <f t="shared" si="17"/>
        <v>#NUM!</v>
      </c>
      <c r="D378" s="21" t="e">
        <f t="shared" si="16"/>
        <v>#NUM!</v>
      </c>
      <c r="E378" s="22" t="e">
        <f>(IF('Modelos de TES'!$J$3='Base de datos '!B378,'Modelos de TES'!$K$3+'Modelos de TES'!$G$3,'Modelos de TES'!$K$3))/((1+'Modelos de TES'!$I$3)^('Base de datos '!D378/365))</f>
        <v>#NUM!</v>
      </c>
      <c r="F378" s="24" t="e">
        <f>IF('Modelos de TES'!$J$3&gt;='Base de datos '!B378,'Base de datos '!E378,0)</f>
        <v>#NUM!</v>
      </c>
    </row>
    <row r="379" spans="2:6" x14ac:dyDescent="0.3">
      <c r="B379" s="19">
        <f t="shared" si="18"/>
        <v>377</v>
      </c>
      <c r="C379" s="20" t="e">
        <f t="shared" si="17"/>
        <v>#NUM!</v>
      </c>
      <c r="D379" s="21" t="e">
        <f t="shared" si="16"/>
        <v>#NUM!</v>
      </c>
      <c r="E379" s="22" t="e">
        <f>(IF('Modelos de TES'!$J$3='Base de datos '!B379,'Modelos de TES'!$K$3+'Modelos de TES'!$G$3,'Modelos de TES'!$K$3))/((1+'Modelos de TES'!$I$3)^('Base de datos '!D379/365))</f>
        <v>#NUM!</v>
      </c>
      <c r="F379" s="24" t="e">
        <f>IF('Modelos de TES'!$J$3&gt;='Base de datos '!B379,'Base de datos '!E379,0)</f>
        <v>#NUM!</v>
      </c>
    </row>
    <row r="380" spans="2:6" x14ac:dyDescent="0.3">
      <c r="B380" s="19">
        <f t="shared" si="18"/>
        <v>378</v>
      </c>
      <c r="C380" s="20" t="e">
        <f t="shared" si="17"/>
        <v>#NUM!</v>
      </c>
      <c r="D380" s="21" t="e">
        <f t="shared" si="16"/>
        <v>#NUM!</v>
      </c>
      <c r="E380" s="22" t="e">
        <f>(IF('Modelos de TES'!$J$3='Base de datos '!B380,'Modelos de TES'!$K$3+'Modelos de TES'!$G$3,'Modelos de TES'!$K$3))/((1+'Modelos de TES'!$I$3)^('Base de datos '!D380/365))</f>
        <v>#NUM!</v>
      </c>
      <c r="F380" s="24" t="e">
        <f>IF('Modelos de TES'!$J$3&gt;='Base de datos '!B380,'Base de datos '!E380,0)</f>
        <v>#NUM!</v>
      </c>
    </row>
    <row r="381" spans="2:6" x14ac:dyDescent="0.3">
      <c r="B381" s="19">
        <f t="shared" si="18"/>
        <v>379</v>
      </c>
      <c r="C381" s="20" t="e">
        <f t="shared" si="17"/>
        <v>#NUM!</v>
      </c>
      <c r="D381" s="21" t="e">
        <f t="shared" si="16"/>
        <v>#NUM!</v>
      </c>
      <c r="E381" s="22" t="e">
        <f>(IF('Modelos de TES'!$J$3='Base de datos '!B381,'Modelos de TES'!$K$3+'Modelos de TES'!$G$3,'Modelos de TES'!$K$3))/((1+'Modelos de TES'!$I$3)^('Base de datos '!D381/365))</f>
        <v>#NUM!</v>
      </c>
      <c r="F381" s="24" t="e">
        <f>IF('Modelos de TES'!$J$3&gt;='Base de datos '!B381,'Base de datos '!E381,0)</f>
        <v>#NUM!</v>
      </c>
    </row>
    <row r="382" spans="2:6" x14ac:dyDescent="0.3">
      <c r="B382" s="19">
        <f t="shared" si="18"/>
        <v>380</v>
      </c>
      <c r="C382" s="20" t="e">
        <f t="shared" si="17"/>
        <v>#NUM!</v>
      </c>
      <c r="D382" s="21" t="e">
        <f t="shared" si="16"/>
        <v>#NUM!</v>
      </c>
      <c r="E382" s="22" t="e">
        <f>(IF('Modelos de TES'!$J$3='Base de datos '!B382,'Modelos de TES'!$K$3+'Modelos de TES'!$G$3,'Modelos de TES'!$K$3))/((1+'Modelos de TES'!$I$3)^('Base de datos '!D382/365))</f>
        <v>#NUM!</v>
      </c>
      <c r="F382" s="24" t="e">
        <f>IF('Modelos de TES'!$J$3&gt;='Base de datos '!B382,'Base de datos '!E382,0)</f>
        <v>#NUM!</v>
      </c>
    </row>
    <row r="383" spans="2:6" x14ac:dyDescent="0.3">
      <c r="B383" s="19">
        <f t="shared" si="18"/>
        <v>381</v>
      </c>
      <c r="C383" s="20" t="e">
        <f t="shared" si="17"/>
        <v>#NUM!</v>
      </c>
      <c r="D383" s="21" t="e">
        <f t="shared" si="16"/>
        <v>#NUM!</v>
      </c>
      <c r="E383" s="22" t="e">
        <f>(IF('Modelos de TES'!$J$3='Base de datos '!B383,'Modelos de TES'!$K$3+'Modelos de TES'!$G$3,'Modelos de TES'!$K$3))/((1+'Modelos de TES'!$I$3)^('Base de datos '!D383/365))</f>
        <v>#NUM!</v>
      </c>
      <c r="F383" s="24" t="e">
        <f>IF('Modelos de TES'!$J$3&gt;='Base de datos '!B383,'Base de datos '!E383,0)</f>
        <v>#NUM!</v>
      </c>
    </row>
  </sheetData>
  <mergeCells count="1">
    <mergeCell ref="B1:C1"/>
  </mergeCells>
  <pageMargins left="0.7" right="0.7" top="0.75" bottom="0.75" header="0.3" footer="0.3"/>
  <pageSetup paperSize="9" orientation="portrait" horizontalDpi="0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F0FB8B-D285-477E-9D76-173CF3116D02}">
  <dimension ref="A1:J16"/>
  <sheetViews>
    <sheetView workbookViewId="0">
      <selection activeCell="C5" sqref="C5"/>
    </sheetView>
  </sheetViews>
  <sheetFormatPr baseColWidth="10" defaultRowHeight="14.4" x14ac:dyDescent="0.3"/>
  <cols>
    <col min="2" max="2" width="20.77734375" customWidth="1"/>
    <col min="3" max="3" width="16.44140625" customWidth="1"/>
    <col min="4" max="4" width="19.77734375" customWidth="1"/>
    <col min="6" max="6" width="23.88671875" bestFit="1" customWidth="1"/>
  </cols>
  <sheetData>
    <row r="1" spans="1:10" ht="15" thickBot="1" x14ac:dyDescent="0.35">
      <c r="A1" s="53" t="s">
        <v>24</v>
      </c>
      <c r="B1" s="54"/>
      <c r="C1" s="51" t="s">
        <v>20</v>
      </c>
      <c r="D1" s="52"/>
      <c r="F1" s="33" t="s">
        <v>21</v>
      </c>
      <c r="J1" t="e">
        <f>IF((AND(B2,B3,B4)),D2-1,D2)</f>
        <v>#NUM!</v>
      </c>
    </row>
    <row r="2" spans="1:10" ht="87" thickBot="1" x14ac:dyDescent="0.35">
      <c r="A2">
        <f>YEAR('Modelos de TES'!E7)</f>
        <v>1900</v>
      </c>
      <c r="B2" t="b">
        <f>IF(DATE(A2+1,1,1)-DATE(A2,1,1)=366,TRUE,FALSE)</f>
        <v>1</v>
      </c>
      <c r="C2" s="39" t="s">
        <v>28</v>
      </c>
      <c r="D2" s="40" t="e">
        <f>IF(AND(B2=TRUE,B3=TRUE,B5=TRUE),(COUPDAYSNC('Modelos de TES'!D7,'Modelos de TES'!E7,1,3))-1,COUPDAYSNC('Modelos de TES'!D7,'Modelos de TES'!E7,1,3))</f>
        <v>#NUM!</v>
      </c>
      <c r="F2" s="30" t="e">
        <f>('Modelos de TES'!G7*(1+'Modelos de TES'!F7)^('Base de datos simultanea'!D2/365))</f>
        <v>#NUM!</v>
      </c>
    </row>
    <row r="3" spans="1:10" ht="72.599999999999994" thickBot="1" x14ac:dyDescent="0.35">
      <c r="A3">
        <f>MONTH('Modelos de TES'!E7)</f>
        <v>1</v>
      </c>
      <c r="B3" t="b">
        <f>IF(A3&gt;=2,TRUE,FALSE)</f>
        <v>0</v>
      </c>
      <c r="C3" s="39" t="s">
        <v>26</v>
      </c>
      <c r="D3" s="40" t="e">
        <f>IF('Base de datos '!C3&lt;='Modelos de TES'!E7,COUPDAYSNC('Base de datos '!C3,'Modelos de TES'!E7,1,3),"")</f>
        <v>#NUM!</v>
      </c>
      <c r="F3" s="31" t="e">
        <f>IF('Modelos de TES'!J3&gt;=2,('Modelos de TES'!K3*((1+'Modelos de TES'!F7)^('Base de datos simultanea'!D3/365))),0)</f>
        <v>#NUM!</v>
      </c>
    </row>
    <row r="4" spans="1:10" ht="58.2" thickBot="1" x14ac:dyDescent="0.35">
      <c r="A4">
        <f>DAY('Modelos de TES'!E7)</f>
        <v>0</v>
      </c>
      <c r="B4" t="b">
        <f>IF(AND(A3=2,A4&lt;=29),TRUE,FALSE)</f>
        <v>0</v>
      </c>
      <c r="C4" s="39" t="s">
        <v>29</v>
      </c>
      <c r="D4" s="40" t="e">
        <f>COUPDAYSNC('Modelos de TES'!E3,'Modelos de TES'!D7,1,3)</f>
        <v>#NUM!</v>
      </c>
      <c r="F4" s="32" t="e">
        <f>F2-F3</f>
        <v>#NUM!</v>
      </c>
    </row>
    <row r="5" spans="1:10" ht="72.599999999999994" thickBot="1" x14ac:dyDescent="0.35">
      <c r="B5" t="b">
        <f>IF('Modelos de TES'!E7&gt;29/2/(YEAR('Modelos de TES'!E7)),TRUE,FALSE)</f>
        <v>0</v>
      </c>
      <c r="C5" s="41" t="s">
        <v>27</v>
      </c>
      <c r="D5" s="29" t="e">
        <f>IF('Base de datos '!C3-'Base de datos '!C2=366,(COUPDAYSNC('Modelos de TES'!E7,'Modelos de TES'!F3,1,3)-1),(COUPDAYSNC('Modelos de TES'!E7,'Modelos de TES'!F3,1,3)))</f>
        <v>#NUM!</v>
      </c>
    </row>
    <row r="8" spans="1:10" x14ac:dyDescent="0.3">
      <c r="D8" s="36"/>
    </row>
    <row r="15" spans="1:10" x14ac:dyDescent="0.3">
      <c r="F15" s="3"/>
    </row>
    <row r="16" spans="1:10" x14ac:dyDescent="0.3">
      <c r="F16" s="3"/>
    </row>
  </sheetData>
  <mergeCells count="2">
    <mergeCell ref="C1:D1"/>
    <mergeCell ref="A1:B1"/>
  </mergeCells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AFAACE05A1363748B1C23B18BE123F72" ma:contentTypeVersion="12" ma:contentTypeDescription="Create a new document." ma:contentTypeScope="" ma:versionID="c9af7145e90a365dbeb1a6820dc0d87f">
  <xsd:schema xmlns:xsd="http://www.w3.org/2001/XMLSchema" xmlns:xs="http://www.w3.org/2001/XMLSchema" xmlns:p="http://schemas.microsoft.com/office/2006/metadata/properties" xmlns:ns3="c17cf958-b851-4909-9723-780e54de6c86" xmlns:ns4="6c7adbc3-d2dd-4ea0-91ad-f519259fea77" targetNamespace="http://schemas.microsoft.com/office/2006/metadata/properties" ma:root="true" ma:fieldsID="94ac3cd25dd04e761d0bfd9c8f5cbd18" ns3:_="" ns4:_="">
    <xsd:import namespace="c17cf958-b851-4909-9723-780e54de6c86"/>
    <xsd:import namespace="6c7adbc3-d2dd-4ea0-91ad-f519259fea77"/>
    <xsd:element name="properties">
      <xsd:complexType>
        <xsd:sequence>
          <xsd:element name="documentManagement">
            <xsd:complexType>
              <xsd:all>
                <xsd:element ref="ns3:MediaServiceMetadata" minOccurs="0"/>
                <xsd:element ref="ns3:MediaServiceFastMetadata" minOccurs="0"/>
                <xsd:element ref="ns4:SharedWithUsers" minOccurs="0"/>
                <xsd:element ref="ns4:SharedWithDetails" minOccurs="0"/>
                <xsd:element ref="ns4:SharingHintHash" minOccurs="0"/>
                <xsd:element ref="ns3:MediaServiceAutoTags" minOccurs="0"/>
                <xsd:element ref="ns3:MediaServiceOCR" minOccurs="0"/>
                <xsd:element ref="ns3:MediaServiceGenerationTime" minOccurs="0"/>
                <xsd:element ref="ns3:MediaServiceEventHashCode" minOccurs="0"/>
                <xsd:element ref="ns3:MediaServiceAutoKeyPoints" minOccurs="0"/>
                <xsd:element ref="ns3:MediaServiceKeyPoints" minOccurs="0"/>
                <xsd:element ref="ns3:MediaServiceDateTaken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c17cf958-b851-4909-9723-780e54de6c86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3" nillable="true" ma:displayName="Tags" ma:internalName="MediaServiceAutoTags" ma:readOnly="true">
      <xsd:simpleType>
        <xsd:restriction base="dms:Text"/>
      </xsd:simpleType>
    </xsd:element>
    <xsd:element name="MediaServiceOCR" ma:index="14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5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6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AutoKeyPoints" ma:index="17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8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DateTaken" ma:index="19" nillable="true" ma:displayName="MediaServiceDateTaken" ma:hidden="true" ma:internalName="MediaServiceDateTaken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6c7adbc3-d2dd-4ea0-91ad-f519259fea77" elementFormDefault="qualified">
    <xsd:import namespace="http://schemas.microsoft.com/office/2006/documentManagement/types"/>
    <xsd:import namespace="http://schemas.microsoft.com/office/infopath/2007/PartnerControls"/>
    <xsd:element name="SharedWithUsers" ma:index="10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1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SharingHintHash" ma:index="12" nillable="true" ma:displayName="Sharing Hint Hash" ma:hidden="true" ma:internalName="SharingHintHash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Props1.xml><?xml version="1.0" encoding="utf-8"?>
<ds:datastoreItem xmlns:ds="http://schemas.openxmlformats.org/officeDocument/2006/customXml" ds:itemID="{705B4DB6-5D50-4B95-8D1A-C42CD6151044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7AC14D06-F6AE-40D8-B2B3-AF9613BF1AC1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c17cf958-b851-4909-9723-780e54de6c86"/>
    <ds:schemaRef ds:uri="6c7adbc3-d2dd-4ea0-91ad-f519259fea77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200A43AD-69B1-4626-BA4F-E7624C9B607D}">
  <ds:schemaRefs>
    <ds:schemaRef ds:uri="c17cf958-b851-4909-9723-780e54de6c86"/>
    <ds:schemaRef ds:uri="http://www.w3.org/XML/1998/namespace"/>
    <ds:schemaRef ds:uri="http://schemas.microsoft.com/office/2006/documentManagement/types"/>
    <ds:schemaRef ds:uri="http://purl.org/dc/terms/"/>
    <ds:schemaRef ds:uri="http://schemas.microsoft.com/office/2006/metadata/properties"/>
    <ds:schemaRef ds:uri="http://purl.org/dc/elements/1.1/"/>
    <ds:schemaRef ds:uri="http://schemas.microsoft.com/office/infopath/2007/PartnerControls"/>
    <ds:schemaRef ds:uri="http://schemas.openxmlformats.org/package/2006/metadata/core-properties"/>
    <ds:schemaRef ds:uri="6c7adbc3-d2dd-4ea0-91ad-f519259fea77"/>
    <ds:schemaRef ds:uri="http://purl.org/dc/dcmitype/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3</vt:i4>
      </vt:variant>
    </vt:vector>
  </HeadingPairs>
  <TitlesOfParts>
    <vt:vector size="3" baseType="lpstr">
      <vt:lpstr>Modelos de TES</vt:lpstr>
      <vt:lpstr>Base de datos </vt:lpstr>
      <vt:lpstr>Base de datos simultanea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Alejandra Paez</dc:creator>
  <cp:lastModifiedBy>Alejandra Paez</cp:lastModifiedBy>
  <dcterms:created xsi:type="dcterms:W3CDTF">2021-03-30T00:43:03Z</dcterms:created>
  <dcterms:modified xsi:type="dcterms:W3CDTF">2021-04-22T03:40:21Z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0x010100AFAACE05A1363748B1C23B18BE123F72</vt:lpwstr>
  </property>
</Properties>
</file>